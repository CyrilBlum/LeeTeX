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rilwendl/LeeTeX/Interessenwochen/Wn_Gf_Sommer_2024/Weitere Dokumente/"/>
    </mc:Choice>
  </mc:AlternateContent>
  <xr:revisionPtr revIDLastSave="0" documentId="13_ncr:1_{039D2EA2-BF73-CE45-8726-AB35E9299D77}" xr6:coauthVersionLast="47" xr6:coauthVersionMax="47" xr10:uidLastSave="{00000000-0000-0000-0000-000000000000}"/>
  <bookViews>
    <workbookView xWindow="0" yWindow="760" windowWidth="27220" windowHeight="18460" activeTab="1" xr2:uid="{00000000-000D-0000-FFFF-FFFF00000000}"/>
  </bookViews>
  <sheets>
    <sheet name="TN" sheetId="1" r:id="rId1"/>
    <sheet name="Bewertung Projekte" sheetId="2" r:id="rId2"/>
    <sheet name="Kost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" l="1"/>
  <c r="I35" i="2"/>
  <c r="H35" i="2"/>
  <c r="G35" i="2"/>
  <c r="F35" i="2"/>
  <c r="E35" i="2"/>
  <c r="D35" i="2"/>
  <c r="C35" i="2"/>
  <c r="A35" i="2"/>
  <c r="A15" i="2"/>
  <c r="H15" i="2"/>
  <c r="G15" i="2"/>
  <c r="F15" i="2"/>
  <c r="E15" i="2"/>
  <c r="D15" i="2"/>
  <c r="C15" i="2"/>
  <c r="A18" i="3"/>
  <c r="A20" i="3" s="1"/>
  <c r="A3" i="3"/>
  <c r="A5" i="3" s="1"/>
  <c r="F36" i="2" l="1"/>
  <c r="F34" i="1" s="1"/>
  <c r="I36" i="2"/>
  <c r="F35" i="1" s="1"/>
  <c r="G35" i="1" s="1"/>
  <c r="G36" i="2"/>
  <c r="H36" i="2"/>
  <c r="D36" i="2"/>
  <c r="J36" i="2"/>
  <c r="F25" i="1" s="1"/>
  <c r="G25" i="1" s="1"/>
  <c r="C36" i="2"/>
  <c r="E36" i="2"/>
  <c r="G16" i="2"/>
  <c r="H16" i="2"/>
  <c r="F16" i="2"/>
  <c r="D16" i="2"/>
  <c r="C16" i="2"/>
  <c r="E16" i="2"/>
  <c r="H25" i="1" l="1"/>
  <c r="E25" i="1" s="1"/>
  <c r="H35" i="1"/>
  <c r="E35" i="1"/>
  <c r="F32" i="1"/>
  <c r="G32" i="1" s="1"/>
  <c r="F21" i="1"/>
  <c r="G21" i="1" s="1"/>
  <c r="F22" i="1"/>
  <c r="G22" i="1" s="1"/>
  <c r="F30" i="1"/>
  <c r="G30" i="1" s="1"/>
  <c r="F28" i="1"/>
  <c r="G28" i="1" s="1"/>
  <c r="F27" i="1"/>
  <c r="G27" i="1" s="1"/>
  <c r="F23" i="1"/>
  <c r="G23" i="1" s="1"/>
  <c r="F31" i="1"/>
  <c r="G31" i="1" s="1"/>
  <c r="F19" i="1"/>
  <c r="G19" i="1" s="1"/>
  <c r="F26" i="1"/>
  <c r="G26" i="1" s="1"/>
  <c r="F24" i="1"/>
  <c r="G24" i="1" s="1"/>
  <c r="F33" i="1"/>
  <c r="G33" i="1" s="1"/>
  <c r="F20" i="1"/>
  <c r="G20" i="1" s="1"/>
  <c r="F29" i="1"/>
  <c r="G29" i="1" s="1"/>
  <c r="F11" i="1"/>
  <c r="G11" i="1" s="1"/>
  <c r="H11" i="1" s="1"/>
  <c r="E11" i="1" s="1"/>
  <c r="F8" i="1"/>
  <c r="G8" i="1" s="1"/>
  <c r="H8" i="1" s="1"/>
  <c r="E8" i="1" s="1"/>
  <c r="G34" i="1"/>
  <c r="F7" i="1"/>
  <c r="G7" i="1" s="1"/>
  <c r="H7" i="1" s="1"/>
  <c r="E7" i="1" s="1"/>
  <c r="F15" i="1"/>
  <c r="G15" i="1" s="1"/>
  <c r="H15" i="1" s="1"/>
  <c r="E15" i="1" s="1"/>
  <c r="F6" i="1"/>
  <c r="G6" i="1" s="1"/>
  <c r="H6" i="1" s="1"/>
  <c r="E6" i="1" s="1"/>
  <c r="F3" i="1"/>
  <c r="G3" i="1" s="1"/>
  <c r="H3" i="1" s="1"/>
  <c r="E3" i="1" s="1"/>
  <c r="F14" i="1"/>
  <c r="G14" i="1" s="1"/>
  <c r="H14" i="1" s="1"/>
  <c r="E14" i="1" s="1"/>
  <c r="F10" i="1"/>
  <c r="G10" i="1" s="1"/>
  <c r="H10" i="1" s="1"/>
  <c r="E10" i="1" s="1"/>
  <c r="F12" i="1"/>
  <c r="G12" i="1" s="1"/>
  <c r="H12" i="1" s="1"/>
  <c r="E12" i="1" s="1"/>
  <c r="F9" i="1"/>
  <c r="G9" i="1" s="1"/>
  <c r="H9" i="1" s="1"/>
  <c r="E9" i="1" s="1"/>
  <c r="F16" i="1"/>
  <c r="G16" i="1" s="1"/>
  <c r="H16" i="1" s="1"/>
  <c r="E16" i="1" s="1"/>
  <c r="F5" i="1"/>
  <c r="G5" i="1" s="1"/>
  <c r="H5" i="1" s="1"/>
  <c r="E5" i="1" s="1"/>
  <c r="F4" i="1"/>
  <c r="G4" i="1" s="1"/>
  <c r="H4" i="1" s="1"/>
  <c r="E4" i="1" s="1"/>
  <c r="F13" i="1"/>
  <c r="G13" i="1" s="1"/>
  <c r="H13" i="1" s="1"/>
  <c r="E13" i="1" s="1"/>
  <c r="H32" i="1" l="1"/>
  <c r="E32" i="1" s="1"/>
  <c r="H30" i="1"/>
  <c r="E30" i="1" s="1"/>
  <c r="H20" i="1"/>
  <c r="E20" i="1" s="1"/>
  <c r="H22" i="1"/>
  <c r="E22" i="1" s="1"/>
  <c r="H21" i="1"/>
  <c r="E21" i="1" s="1"/>
  <c r="H29" i="1"/>
  <c r="E29" i="1" s="1"/>
  <c r="H19" i="1"/>
  <c r="E19" i="1" s="1"/>
  <c r="H27" i="1"/>
  <c r="E27" i="1" s="1"/>
  <c r="H24" i="1"/>
  <c r="E24" i="1" s="1"/>
  <c r="H26" i="1"/>
  <c r="E26" i="1" s="1"/>
  <c r="H31" i="1"/>
  <c r="E31" i="1" s="1"/>
  <c r="H28" i="1"/>
  <c r="E28" i="1" s="1"/>
  <c r="H33" i="1"/>
  <c r="E33" i="1" s="1"/>
  <c r="H34" i="1"/>
  <c r="E34" i="1" s="1"/>
  <c r="H23" i="1"/>
  <c r="E23" i="1" s="1"/>
</calcChain>
</file>

<file path=xl/sharedStrings.xml><?xml version="1.0" encoding="utf-8"?>
<sst xmlns="http://schemas.openxmlformats.org/spreadsheetml/2006/main" count="177" uniqueCount="110">
  <si>
    <r>
      <rPr>
        <sz val="7.5"/>
        <rFont val="Arial Black"/>
        <family val="2"/>
      </rPr>
      <t xml:space="preserve">25A. Themenkreise rund um das Web
</t>
    </r>
    <r>
      <rPr>
        <sz val="9"/>
        <rFont val="Arial"/>
        <family val="2"/>
      </rPr>
      <t>Dauer: halbe Woche (Montag bis Mittwochmorgen)</t>
    </r>
  </si>
  <si>
    <r>
      <rPr>
        <b/>
        <sz val="8.5"/>
        <rFont val="Arial"/>
        <family val="2"/>
      </rPr>
      <t>Nr.</t>
    </r>
  </si>
  <si>
    <r>
      <rPr>
        <b/>
        <sz val="8.5"/>
        <rFont val="Arial"/>
        <family val="2"/>
      </rPr>
      <t>Nachname</t>
    </r>
  </si>
  <si>
    <r>
      <rPr>
        <b/>
        <sz val="8.5"/>
        <rFont val="Arial"/>
        <family val="2"/>
      </rPr>
      <t>Vorname</t>
    </r>
  </si>
  <si>
    <r>
      <rPr>
        <b/>
        <sz val="8.5"/>
        <rFont val="Arial"/>
        <family val="2"/>
      </rPr>
      <t>Klasse</t>
    </r>
  </si>
  <si>
    <r>
      <rPr>
        <sz val="9"/>
        <rFont val="Arial"/>
        <family val="2"/>
      </rPr>
      <t>Amacker</t>
    </r>
  </si>
  <si>
    <r>
      <rPr>
        <sz val="9"/>
        <rFont val="Arial"/>
        <family val="2"/>
      </rPr>
      <t>Loris Alexander</t>
    </r>
  </si>
  <si>
    <r>
      <rPr>
        <sz val="9"/>
        <rFont val="Arial"/>
        <family val="2"/>
      </rPr>
      <t>1f</t>
    </r>
  </si>
  <si>
    <r>
      <rPr>
        <sz val="9"/>
        <rFont val="Arial"/>
        <family val="2"/>
      </rPr>
      <t>Baik</t>
    </r>
  </si>
  <si>
    <r>
      <rPr>
        <sz val="9"/>
        <rFont val="Arial"/>
        <family val="2"/>
      </rPr>
      <t>Jan Sebastian</t>
    </r>
  </si>
  <si>
    <r>
      <rPr>
        <sz val="9"/>
        <rFont val="Arial"/>
        <family val="2"/>
      </rPr>
      <t>2f</t>
    </r>
  </si>
  <si>
    <r>
      <rPr>
        <sz val="9"/>
        <rFont val="Arial"/>
        <family val="2"/>
      </rPr>
      <t>Beck</t>
    </r>
  </si>
  <si>
    <r>
      <rPr>
        <sz val="9"/>
        <rFont val="Arial"/>
        <family val="2"/>
      </rPr>
      <t>Dennis</t>
    </r>
  </si>
  <si>
    <r>
      <rPr>
        <sz val="9"/>
        <rFont val="Arial"/>
        <family val="2"/>
      </rPr>
      <t>Boss</t>
    </r>
  </si>
  <si>
    <r>
      <rPr>
        <sz val="9"/>
        <rFont val="Arial"/>
        <family val="2"/>
      </rPr>
      <t>Florian</t>
    </r>
  </si>
  <si>
    <r>
      <rPr>
        <sz val="9"/>
        <rFont val="Arial"/>
        <family val="2"/>
      </rPr>
      <t>1a</t>
    </r>
  </si>
  <si>
    <r>
      <rPr>
        <sz val="9"/>
        <rFont val="Arial"/>
        <family val="2"/>
      </rPr>
      <t>Ceccon</t>
    </r>
  </si>
  <si>
    <r>
      <rPr>
        <sz val="9"/>
        <rFont val="Arial"/>
        <family val="2"/>
      </rPr>
      <t>Matteo Esteban</t>
    </r>
  </si>
  <si>
    <r>
      <rPr>
        <sz val="9"/>
        <rFont val="Arial"/>
        <family val="2"/>
      </rPr>
      <t>Debrunner</t>
    </r>
  </si>
  <si>
    <r>
      <rPr>
        <sz val="9"/>
        <rFont val="Arial"/>
        <family val="2"/>
      </rPr>
      <t>Marcel</t>
    </r>
  </si>
  <si>
    <r>
      <rPr>
        <sz val="9"/>
        <rFont val="Arial"/>
        <family val="2"/>
      </rPr>
      <t>Fischer</t>
    </r>
  </si>
  <si>
    <r>
      <rPr>
        <sz val="9"/>
        <rFont val="Arial"/>
        <family val="2"/>
      </rPr>
      <t>Felix</t>
    </r>
  </si>
  <si>
    <r>
      <rPr>
        <sz val="9"/>
        <rFont val="Arial"/>
        <family val="2"/>
      </rPr>
      <t>Flückiger</t>
    </r>
  </si>
  <si>
    <r>
      <rPr>
        <sz val="9"/>
        <rFont val="Arial"/>
        <family val="2"/>
      </rPr>
      <t>Lina</t>
    </r>
  </si>
  <si>
    <r>
      <rPr>
        <sz val="9"/>
        <rFont val="Arial"/>
        <family val="2"/>
      </rPr>
      <t>Fullagar</t>
    </r>
  </si>
  <si>
    <r>
      <rPr>
        <sz val="9"/>
        <rFont val="Arial"/>
        <family val="2"/>
      </rPr>
      <t>Beatrice</t>
    </r>
  </si>
  <si>
    <r>
      <rPr>
        <sz val="9"/>
        <rFont val="Arial"/>
        <family val="2"/>
      </rPr>
      <t>2a</t>
    </r>
  </si>
  <si>
    <r>
      <rPr>
        <sz val="9"/>
        <rFont val="Arial"/>
        <family val="2"/>
      </rPr>
      <t>Graf</t>
    </r>
  </si>
  <si>
    <r>
      <rPr>
        <sz val="9"/>
        <rFont val="Arial"/>
        <family val="2"/>
      </rPr>
      <t>Niclas</t>
    </r>
  </si>
  <si>
    <r>
      <rPr>
        <sz val="9"/>
        <rFont val="Arial"/>
        <family val="2"/>
      </rPr>
      <t>Knoblauch</t>
    </r>
  </si>
  <si>
    <r>
      <rPr>
        <sz val="9"/>
        <rFont val="Arial"/>
        <family val="2"/>
      </rPr>
      <t>Ikarus</t>
    </r>
  </si>
  <si>
    <r>
      <rPr>
        <sz val="9"/>
        <rFont val="Arial"/>
        <family val="2"/>
      </rPr>
      <t>Rognon</t>
    </r>
  </si>
  <si>
    <r>
      <rPr>
        <sz val="9"/>
        <rFont val="Arial"/>
        <family val="2"/>
      </rPr>
      <t>Bernard</t>
    </r>
  </si>
  <si>
    <r>
      <rPr>
        <sz val="9"/>
        <rFont val="Arial"/>
        <family val="2"/>
      </rPr>
      <t>Schmid</t>
    </r>
  </si>
  <si>
    <r>
      <rPr>
        <sz val="9"/>
        <rFont val="Arial"/>
        <family val="2"/>
      </rPr>
      <t>Lenny Matteo</t>
    </r>
  </si>
  <si>
    <r>
      <rPr>
        <sz val="9"/>
        <rFont val="Arial"/>
        <family val="2"/>
      </rPr>
      <t>Schöner</t>
    </r>
  </si>
  <si>
    <r>
      <rPr>
        <sz val="9"/>
        <rFont val="Arial"/>
        <family val="2"/>
      </rPr>
      <t>Julius</t>
    </r>
  </si>
  <si>
    <r>
      <rPr>
        <sz val="7.5"/>
        <rFont val="Arial Black"/>
        <family val="2"/>
      </rPr>
      <t xml:space="preserve">25B. Themenkreise rund um das Web
</t>
    </r>
    <r>
      <rPr>
        <sz val="9"/>
        <rFont val="Arial"/>
        <family val="2"/>
      </rPr>
      <t>Dauer: halbe Woche (Mittwochnachmittag bis Freitag)</t>
    </r>
  </si>
  <si>
    <r>
      <rPr>
        <sz val="9"/>
        <rFont val="Arial"/>
        <family val="2"/>
      </rPr>
      <t>Adorni</t>
    </r>
  </si>
  <si>
    <r>
      <rPr>
        <sz val="9"/>
        <rFont val="Arial"/>
        <family val="2"/>
      </rPr>
      <t>Livio</t>
    </r>
  </si>
  <si>
    <r>
      <rPr>
        <sz val="9"/>
        <rFont val="Arial"/>
        <family val="2"/>
      </rPr>
      <t>1h</t>
    </r>
  </si>
  <si>
    <r>
      <rPr>
        <sz val="9"/>
        <rFont val="Arial"/>
        <family val="2"/>
      </rPr>
      <t>Billeter</t>
    </r>
  </si>
  <si>
    <r>
      <rPr>
        <sz val="9"/>
        <rFont val="Arial"/>
        <family val="2"/>
      </rPr>
      <t>Jonas</t>
    </r>
  </si>
  <si>
    <r>
      <rPr>
        <sz val="9"/>
        <rFont val="Arial"/>
        <family val="2"/>
      </rPr>
      <t>1g</t>
    </r>
  </si>
  <si>
    <r>
      <rPr>
        <sz val="9"/>
        <rFont val="Arial"/>
        <family val="2"/>
      </rPr>
      <t>Bloch</t>
    </r>
  </si>
  <si>
    <r>
      <rPr>
        <sz val="9"/>
        <rFont val="Arial"/>
        <family val="2"/>
      </rPr>
      <t>Timo</t>
    </r>
  </si>
  <si>
    <r>
      <rPr>
        <sz val="9"/>
        <rFont val="Arial"/>
        <family val="2"/>
      </rPr>
      <t>2g</t>
    </r>
  </si>
  <si>
    <r>
      <rPr>
        <sz val="9"/>
        <rFont val="Arial"/>
        <family val="2"/>
      </rPr>
      <t>Boogman</t>
    </r>
  </si>
  <si>
    <r>
      <rPr>
        <sz val="9"/>
        <rFont val="Arial"/>
        <family val="2"/>
      </rPr>
      <t>Joris</t>
    </r>
  </si>
  <si>
    <r>
      <rPr>
        <sz val="9"/>
        <rFont val="Arial"/>
        <family val="2"/>
      </rPr>
      <t>2c</t>
    </r>
  </si>
  <si>
    <r>
      <rPr>
        <sz val="9"/>
        <rFont val="Arial"/>
        <family val="2"/>
      </rPr>
      <t>Bretscher</t>
    </r>
  </si>
  <si>
    <r>
      <rPr>
        <sz val="9"/>
        <rFont val="Arial"/>
        <family val="2"/>
      </rPr>
      <t>Tim</t>
    </r>
  </si>
  <si>
    <r>
      <rPr>
        <sz val="9"/>
        <rFont val="Arial"/>
        <family val="2"/>
      </rPr>
      <t>Haltinner</t>
    </r>
  </si>
  <si>
    <r>
      <rPr>
        <sz val="9"/>
        <rFont val="Arial"/>
        <family val="2"/>
      </rPr>
      <t>Hirsiger</t>
    </r>
  </si>
  <si>
    <r>
      <rPr>
        <sz val="9"/>
        <rFont val="Arial"/>
        <family val="2"/>
      </rPr>
      <t>Julien</t>
    </r>
  </si>
  <si>
    <r>
      <rPr>
        <sz val="9"/>
        <rFont val="Arial"/>
        <family val="2"/>
      </rPr>
      <t>1c</t>
    </r>
  </si>
  <si>
    <r>
      <rPr>
        <sz val="9"/>
        <rFont val="Arial"/>
        <family val="2"/>
      </rPr>
      <t>Holzschuster</t>
    </r>
  </si>
  <si>
    <r>
      <rPr>
        <sz val="9"/>
        <rFont val="Arial"/>
        <family val="2"/>
      </rPr>
      <t>Clemens</t>
    </r>
  </si>
  <si>
    <r>
      <rPr>
        <sz val="9"/>
        <rFont val="Arial"/>
        <family val="2"/>
      </rPr>
      <t>Kasongo Basuiye</t>
    </r>
  </si>
  <si>
    <r>
      <rPr>
        <sz val="9"/>
        <rFont val="Arial"/>
        <family val="2"/>
      </rPr>
      <t>Carpie</t>
    </r>
  </si>
  <si>
    <r>
      <rPr>
        <sz val="9"/>
        <rFont val="Arial"/>
        <family val="2"/>
      </rPr>
      <t>Lee</t>
    </r>
  </si>
  <si>
    <r>
      <rPr>
        <sz val="9"/>
        <rFont val="Arial"/>
        <family val="2"/>
      </rPr>
      <t>Iman</t>
    </r>
  </si>
  <si>
    <r>
      <rPr>
        <sz val="9"/>
        <rFont val="Arial"/>
        <family val="2"/>
      </rPr>
      <t>Leumann</t>
    </r>
  </si>
  <si>
    <r>
      <rPr>
        <sz val="9"/>
        <rFont val="Arial"/>
        <family val="2"/>
      </rPr>
      <t>Vincent Eric</t>
    </r>
  </si>
  <si>
    <r>
      <rPr>
        <sz val="9"/>
        <rFont val="Arial"/>
        <family val="2"/>
      </rPr>
      <t>Mostafa</t>
    </r>
  </si>
  <si>
    <r>
      <rPr>
        <sz val="9"/>
        <rFont val="Arial"/>
        <family val="2"/>
      </rPr>
      <t>Nour el Zahra</t>
    </r>
  </si>
  <si>
    <r>
      <rPr>
        <sz val="9"/>
        <rFont val="Arial"/>
        <family val="2"/>
      </rPr>
      <t>Schnetzer</t>
    </r>
  </si>
  <si>
    <r>
      <rPr>
        <sz val="9"/>
        <rFont val="Arial"/>
        <family val="2"/>
      </rPr>
      <t>Lenny</t>
    </r>
  </si>
  <si>
    <r>
      <rPr>
        <sz val="9"/>
        <rFont val="Arial"/>
        <family val="2"/>
      </rPr>
      <t>1e</t>
    </r>
  </si>
  <si>
    <r>
      <rPr>
        <sz val="9"/>
        <rFont val="Arial"/>
        <family val="2"/>
      </rPr>
      <t>Schnyder</t>
    </r>
  </si>
  <si>
    <r>
      <rPr>
        <sz val="9"/>
        <rFont val="Arial"/>
        <family val="2"/>
      </rPr>
      <t>Tom</t>
    </r>
  </si>
  <si>
    <r>
      <rPr>
        <sz val="9"/>
        <rFont val="Arial"/>
        <family val="2"/>
      </rPr>
      <t>Straumann</t>
    </r>
  </si>
  <si>
    <r>
      <rPr>
        <sz val="9"/>
        <rFont val="Arial"/>
        <family val="2"/>
      </rPr>
      <t>Filippo</t>
    </r>
  </si>
  <si>
    <r>
      <rPr>
        <sz val="9"/>
        <rFont val="Arial"/>
        <family val="2"/>
      </rPr>
      <t>Widler</t>
    </r>
  </si>
  <si>
    <r>
      <rPr>
        <sz val="9"/>
        <rFont val="Arial"/>
        <family val="2"/>
      </rPr>
      <t>Yannick</t>
    </r>
  </si>
  <si>
    <t>x</t>
  </si>
  <si>
    <t>CHF 29.15 bezahlt</t>
  </si>
  <si>
    <t>Domashenko</t>
  </si>
  <si>
    <t>Daniil</t>
  </si>
  <si>
    <t>1e</t>
  </si>
  <si>
    <t>Kosten</t>
  </si>
  <si>
    <t>Museumseintritt</t>
  </si>
  <si>
    <t>Führung</t>
  </si>
  <si>
    <t>Zug</t>
  </si>
  <si>
    <t>Total</t>
  </si>
  <si>
    <t>Kommentar</t>
  </si>
  <si>
    <t>GA</t>
  </si>
  <si>
    <t>Bewertungskriterium</t>
  </si>
  <si>
    <t>Punkte / Kriterium</t>
  </si>
  <si>
    <t>Tabellen</t>
  </si>
  <si>
    <t>Listen (ol UND ul)</t>
  </si>
  <si>
    <t>Zitate</t>
  </si>
  <si>
    <t>Links</t>
  </si>
  <si>
    <t>3 weitere HTML-Tags</t>
  </si>
  <si>
    <t>Stylesheet</t>
  </si>
  <si>
    <t>Gesamt-Punkte</t>
  </si>
  <si>
    <t>Mention</t>
  </si>
  <si>
    <t>Gruppe</t>
  </si>
  <si>
    <t>Latex Template</t>
  </si>
  <si>
    <t>Platz</t>
  </si>
  <si>
    <t>Inhalt gut verstanden &amp; präsentiert</t>
  </si>
  <si>
    <t>Bonus: Favicon</t>
  </si>
  <si>
    <t>Bonus: Design</t>
  </si>
  <si>
    <t>Bonus: JavaScript / Interaktiv</t>
  </si>
  <si>
    <t>Bonus: Vektor-Grafiken</t>
  </si>
  <si>
    <t>CHF 27.70 bezahlt</t>
  </si>
  <si>
    <t>Durchführung 1</t>
  </si>
  <si>
    <t>Durchführung 2</t>
  </si>
  <si>
    <t>n/a</t>
  </si>
  <si>
    <t>Sophie 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</si>
</sst>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8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7.5"/>
      <name val="Arial Black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4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44" fontId="5" fillId="0" borderId="0" xfId="1" applyFont="1" applyAlignment="1">
      <alignment horizontal="left" vertical="top"/>
    </xf>
    <xf numFmtId="44" fontId="0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2" fillId="0" borderId="2" xfId="0" applyFont="1" applyBorder="1" applyAlignment="1">
      <alignment horizontal="left" vertical="top" indent="1" shrinkToFit="1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2" fillId="0" borderId="2" xfId="0" applyFont="1" applyBorder="1" applyAlignment="1">
      <alignment horizontal="right" vertical="top" indent="2" shrinkToFit="1"/>
    </xf>
    <xf numFmtId="0" fontId="1" fillId="3" borderId="1" xfId="0" applyFont="1" applyFill="1" applyBorder="1" applyAlignment="1">
      <alignment horizontal="left" vertical="top" wrapText="1" indent="3"/>
    </xf>
    <xf numFmtId="0" fontId="1" fillId="3" borderId="1" xfId="0" applyFont="1" applyFill="1" applyBorder="1" applyAlignment="1">
      <alignment horizontal="left" vertical="top" indent="3"/>
    </xf>
    <xf numFmtId="0" fontId="3" fillId="3" borderId="2" xfId="0" applyFont="1" applyFill="1" applyBorder="1" applyAlignment="1">
      <alignment horizontal="left" vertical="top" wrapText="1" indent="3"/>
    </xf>
    <xf numFmtId="0" fontId="3" fillId="3" borderId="2" xfId="0" applyFont="1" applyFill="1" applyBorder="1" applyAlignment="1">
      <alignment horizontal="left" vertical="top" indent="3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zoomScale="125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D25" sqref="D25"/>
    </sheetView>
  </sheetViews>
  <sheetFormatPr baseColWidth="10" defaultColWidth="9" defaultRowHeight="13" x14ac:dyDescent="0.15"/>
  <cols>
    <col min="1" max="1" width="8" customWidth="1"/>
    <col min="2" max="4" width="19.59765625" customWidth="1"/>
    <col min="5" max="5" width="48.3984375" style="22" customWidth="1"/>
    <col min="6" max="6" width="11.19921875" style="22" bestFit="1" customWidth="1"/>
    <col min="7" max="7" width="22.3984375" style="22" bestFit="1" customWidth="1"/>
    <col min="8" max="8" width="22.19921875" style="22" bestFit="1" customWidth="1"/>
    <col min="9" max="9" width="7.19921875" bestFit="1" customWidth="1"/>
    <col min="10" max="10" width="21.796875" customWidth="1"/>
    <col min="11" max="11" width="11.59765625" bestFit="1" customWidth="1"/>
    <col min="12" max="12" width="30" customWidth="1"/>
    <col min="13" max="21" width="25.19921875" customWidth="1"/>
    <col min="26" max="26" width="9.59765625" bestFit="1" customWidth="1"/>
    <col min="30" max="30" width="10.19921875" customWidth="1"/>
    <col min="31" max="31" width="11.796875" bestFit="1" customWidth="1"/>
  </cols>
  <sheetData>
    <row r="1" spans="1:30" ht="34" customHeight="1" x14ac:dyDescent="0.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L1" s="1"/>
    </row>
    <row r="2" spans="1:30" ht="17" customHeight="1" x14ac:dyDescent="0.15">
      <c r="A2" s="7" t="s">
        <v>1</v>
      </c>
      <c r="B2" s="8" t="s">
        <v>2</v>
      </c>
      <c r="C2" s="9" t="s">
        <v>3</v>
      </c>
      <c r="D2" s="9" t="s">
        <v>97</v>
      </c>
      <c r="E2" s="18" t="s">
        <v>98</v>
      </c>
      <c r="F2" s="19" t="s">
        <v>99</v>
      </c>
      <c r="G2" s="18" t="s">
        <v>99</v>
      </c>
      <c r="H2" s="18" t="s">
        <v>96</v>
      </c>
      <c r="I2" s="10" t="s">
        <v>4</v>
      </c>
      <c r="J2" s="11" t="s">
        <v>76</v>
      </c>
      <c r="K2" s="4" t="s">
        <v>85</v>
      </c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/>
    </row>
    <row r="3" spans="1:30" ht="17" customHeight="1" x14ac:dyDescent="0.15">
      <c r="A3" s="12">
        <v>1</v>
      </c>
      <c r="B3" s="13" t="s">
        <v>5</v>
      </c>
      <c r="C3" s="14" t="s">
        <v>6</v>
      </c>
      <c r="D3" s="14">
        <v>4</v>
      </c>
      <c r="E3" s="20" t="str">
        <f t="shared" ref="E3:E16" si="0">C3&amp;" "&amp;B3 &amp;"/"&amp;G3&amp;"/"&amp;H3&amp;","</f>
        <v>Loris Alexander Amacker/2. Platz/{herausragendes },</v>
      </c>
      <c r="F3" s="21">
        <f>_xlfn.XLOOKUP(D3,'Bewertung Projekte'!$C$3:$H$3,'Bewertung Projekte'!$C$16:$H$16)</f>
        <v>2</v>
      </c>
      <c r="G3" s="20" t="str">
        <f>IF(F3&lt;4,F3&amp;". Platz", "Honorable Mention")</f>
        <v>2. Platz</v>
      </c>
      <c r="H3" s="20" t="str">
        <f t="shared" ref="H3:H15" si="1">IF(ISERR(FIND("Platz",G3)),"","{herausragendes }")</f>
        <v>{herausragendes }</v>
      </c>
      <c r="I3" s="15" t="s">
        <v>7</v>
      </c>
      <c r="J3" s="16" t="s">
        <v>75</v>
      </c>
    </row>
    <row r="4" spans="1:30" ht="18" customHeight="1" x14ac:dyDescent="0.15">
      <c r="A4" s="12">
        <v>2</v>
      </c>
      <c r="B4" s="13" t="s">
        <v>8</v>
      </c>
      <c r="C4" s="14" t="s">
        <v>9</v>
      </c>
      <c r="D4" s="14">
        <v>2</v>
      </c>
      <c r="E4" s="20" t="str">
        <f t="shared" si="0"/>
        <v>Jan Sebastian Baik/Honorable Mention/,</v>
      </c>
      <c r="F4" s="21">
        <f>_xlfn.XLOOKUP(D4,'Bewertung Projekte'!$C$3:$H$3,'Bewertung Projekte'!$C$16:$H$16)</f>
        <v>5</v>
      </c>
      <c r="G4" s="20" t="str">
        <f t="shared" ref="G4:G16" si="2">IF(F4&lt;4,F4&amp;". Platz", "Honorable Mention")</f>
        <v>Honorable Mention</v>
      </c>
      <c r="H4" s="20" t="str">
        <f t="shared" si="1"/>
        <v/>
      </c>
      <c r="I4" s="15" t="s">
        <v>10</v>
      </c>
      <c r="J4" s="16" t="s">
        <v>75</v>
      </c>
      <c r="K4" s="1" t="s">
        <v>86</v>
      </c>
    </row>
    <row r="5" spans="1:30" ht="17" customHeight="1" x14ac:dyDescent="0.15">
      <c r="A5" s="12">
        <v>3</v>
      </c>
      <c r="B5" s="13" t="s">
        <v>11</v>
      </c>
      <c r="C5" s="14" t="s">
        <v>12</v>
      </c>
      <c r="D5" s="14">
        <v>1</v>
      </c>
      <c r="E5" s="20" t="str">
        <f t="shared" si="0"/>
        <v>Dennis Beck/3. Platz/{herausragendes },</v>
      </c>
      <c r="F5" s="21">
        <f>_xlfn.XLOOKUP(D5,'Bewertung Projekte'!$C$3:$H$3,'Bewertung Projekte'!$C$16:$H$16)</f>
        <v>3</v>
      </c>
      <c r="G5" s="20" t="str">
        <f t="shared" si="2"/>
        <v>3. Platz</v>
      </c>
      <c r="H5" s="20" t="str">
        <f t="shared" si="1"/>
        <v>{herausragendes }</v>
      </c>
      <c r="I5" s="15" t="s">
        <v>7</v>
      </c>
      <c r="J5" s="16" t="s">
        <v>75</v>
      </c>
    </row>
    <row r="6" spans="1:30" ht="18" customHeight="1" x14ac:dyDescent="0.15">
      <c r="A6" s="12">
        <v>4</v>
      </c>
      <c r="B6" s="13" t="s">
        <v>13</v>
      </c>
      <c r="C6" s="14" t="s">
        <v>14</v>
      </c>
      <c r="D6" s="14">
        <v>5</v>
      </c>
      <c r="E6" s="20" t="str">
        <f t="shared" si="0"/>
        <v>Florian Boss/1. Platz/{herausragendes },</v>
      </c>
      <c r="F6" s="21">
        <f>_xlfn.XLOOKUP(D6,'Bewertung Projekte'!$C$3:$H$3,'Bewertung Projekte'!$C$16:$H$16)</f>
        <v>1</v>
      </c>
      <c r="G6" s="20" t="str">
        <f t="shared" si="2"/>
        <v>1. Platz</v>
      </c>
      <c r="H6" s="20" t="str">
        <f t="shared" si="1"/>
        <v>{herausragendes }</v>
      </c>
      <c r="I6" s="15" t="s">
        <v>15</v>
      </c>
      <c r="J6" s="16" t="s">
        <v>75</v>
      </c>
    </row>
    <row r="7" spans="1:30" ht="18" customHeight="1" x14ac:dyDescent="0.15">
      <c r="A7" s="12">
        <v>5</v>
      </c>
      <c r="B7" s="13" t="s">
        <v>16</v>
      </c>
      <c r="C7" s="14" t="s">
        <v>17</v>
      </c>
      <c r="D7" s="14">
        <v>5</v>
      </c>
      <c r="E7" s="20" t="str">
        <f t="shared" si="0"/>
        <v>Matteo Esteban Ceccon/1. Platz/{herausragendes },</v>
      </c>
      <c r="F7" s="21">
        <f>_xlfn.XLOOKUP(D7,'Bewertung Projekte'!$C$3:$H$3,'Bewertung Projekte'!$C$16:$H$16)</f>
        <v>1</v>
      </c>
      <c r="G7" s="20" t="str">
        <f t="shared" si="2"/>
        <v>1. Platz</v>
      </c>
      <c r="H7" s="20" t="str">
        <f t="shared" si="1"/>
        <v>{herausragendes }</v>
      </c>
      <c r="I7" s="15" t="s">
        <v>7</v>
      </c>
      <c r="J7" s="16" t="s">
        <v>75</v>
      </c>
    </row>
    <row r="8" spans="1:30" ht="17" customHeight="1" x14ac:dyDescent="0.15">
      <c r="A8" s="12">
        <v>6</v>
      </c>
      <c r="B8" s="13" t="s">
        <v>18</v>
      </c>
      <c r="C8" s="14" t="s">
        <v>19</v>
      </c>
      <c r="D8" s="14">
        <v>4</v>
      </c>
      <c r="E8" s="20" t="str">
        <f t="shared" si="0"/>
        <v>Marcel Debrunner/2. Platz/{herausragendes },</v>
      </c>
      <c r="F8" s="21">
        <f>_xlfn.XLOOKUP(D8,'Bewertung Projekte'!$C$3:$H$3,'Bewertung Projekte'!$C$16:$H$16)</f>
        <v>2</v>
      </c>
      <c r="G8" s="20" t="str">
        <f t="shared" si="2"/>
        <v>2. Platz</v>
      </c>
      <c r="H8" s="20" t="str">
        <f t="shared" si="1"/>
        <v>{herausragendes }</v>
      </c>
      <c r="I8" s="15" t="s">
        <v>7</v>
      </c>
      <c r="J8" s="16" t="s">
        <v>75</v>
      </c>
    </row>
    <row r="9" spans="1:30" ht="18" customHeight="1" x14ac:dyDescent="0.15">
      <c r="A9" s="12">
        <v>7</v>
      </c>
      <c r="B9" s="13" t="s">
        <v>20</v>
      </c>
      <c r="C9" s="14" t="s">
        <v>21</v>
      </c>
      <c r="D9" s="14">
        <v>3</v>
      </c>
      <c r="E9" s="20" t="str">
        <f t="shared" si="0"/>
        <v>Felix Fischer/Honorable Mention/,</v>
      </c>
      <c r="F9" s="21">
        <f>_xlfn.XLOOKUP(D9,'Bewertung Projekte'!$C$3:$H$3,'Bewertung Projekte'!$C$16:$H$16)</f>
        <v>6</v>
      </c>
      <c r="G9" s="20" t="str">
        <f t="shared" si="2"/>
        <v>Honorable Mention</v>
      </c>
      <c r="H9" s="20" t="str">
        <f t="shared" si="1"/>
        <v/>
      </c>
      <c r="I9" s="15" t="s">
        <v>7</v>
      </c>
      <c r="J9" s="16" t="s">
        <v>75</v>
      </c>
    </row>
    <row r="10" spans="1:30" ht="17" customHeight="1" x14ac:dyDescent="0.15">
      <c r="A10" s="12">
        <v>8</v>
      </c>
      <c r="B10" s="13" t="s">
        <v>22</v>
      </c>
      <c r="C10" s="14" t="s">
        <v>23</v>
      </c>
      <c r="D10" s="14">
        <v>6</v>
      </c>
      <c r="E10" s="20" t="str">
        <f t="shared" si="0"/>
        <v>Lina Flückiger/Honorable Mention/,</v>
      </c>
      <c r="F10" s="21">
        <f>_xlfn.XLOOKUP(D10,'Bewertung Projekte'!$C$3:$H$3,'Bewertung Projekte'!$C$16:$H$16)</f>
        <v>4</v>
      </c>
      <c r="G10" s="20" t="str">
        <f t="shared" si="2"/>
        <v>Honorable Mention</v>
      </c>
      <c r="H10" s="20" t="str">
        <f t="shared" si="1"/>
        <v/>
      </c>
      <c r="I10" s="15" t="s">
        <v>15</v>
      </c>
      <c r="J10" s="16" t="s">
        <v>75</v>
      </c>
    </row>
    <row r="11" spans="1:30" ht="18" customHeight="1" x14ac:dyDescent="0.15">
      <c r="A11" s="12">
        <v>9</v>
      </c>
      <c r="B11" s="13" t="s">
        <v>24</v>
      </c>
      <c r="C11" s="14" t="s">
        <v>25</v>
      </c>
      <c r="D11" s="14">
        <v>6</v>
      </c>
      <c r="E11" s="20" t="str">
        <f t="shared" si="0"/>
        <v>Beatrice Fullagar/Honorable Mention/,</v>
      </c>
      <c r="F11" s="21">
        <f>_xlfn.XLOOKUP(D11,'Bewertung Projekte'!$C$3:$H$3,'Bewertung Projekte'!$C$16:$H$16)</f>
        <v>4</v>
      </c>
      <c r="G11" s="20" t="str">
        <f t="shared" si="2"/>
        <v>Honorable Mention</v>
      </c>
      <c r="H11" s="20" t="str">
        <f t="shared" si="1"/>
        <v/>
      </c>
      <c r="I11" s="15" t="s">
        <v>26</v>
      </c>
      <c r="J11" s="16" t="s">
        <v>75</v>
      </c>
    </row>
    <row r="12" spans="1:30" ht="17" customHeight="1" x14ac:dyDescent="0.15">
      <c r="A12" s="17">
        <v>10</v>
      </c>
      <c r="B12" s="13" t="s">
        <v>27</v>
      </c>
      <c r="C12" s="14" t="s">
        <v>28</v>
      </c>
      <c r="D12" s="14">
        <v>3</v>
      </c>
      <c r="E12" s="20" t="str">
        <f t="shared" si="0"/>
        <v>Niclas Graf/Honorable Mention/,</v>
      </c>
      <c r="F12" s="21">
        <f>_xlfn.XLOOKUP(D12,'Bewertung Projekte'!$C$3:$H$3,'Bewertung Projekte'!$C$16:$H$16)</f>
        <v>6</v>
      </c>
      <c r="G12" s="20" t="str">
        <f t="shared" si="2"/>
        <v>Honorable Mention</v>
      </c>
      <c r="H12" s="20" t="str">
        <f t="shared" si="1"/>
        <v/>
      </c>
      <c r="I12" s="15" t="s">
        <v>7</v>
      </c>
      <c r="J12" s="16" t="s">
        <v>75</v>
      </c>
    </row>
    <row r="13" spans="1:30" ht="18" customHeight="1" x14ac:dyDescent="0.15">
      <c r="A13" s="17">
        <v>11</v>
      </c>
      <c r="B13" s="13" t="s">
        <v>29</v>
      </c>
      <c r="C13" s="14" t="s">
        <v>30</v>
      </c>
      <c r="D13" s="14">
        <v>2</v>
      </c>
      <c r="E13" s="20" t="str">
        <f t="shared" si="0"/>
        <v>Ikarus Knoblauch/Honorable Mention/,</v>
      </c>
      <c r="F13" s="21">
        <f>_xlfn.XLOOKUP(D13,'Bewertung Projekte'!$C$3:$H$3,'Bewertung Projekte'!$C$16:$H$16)</f>
        <v>5</v>
      </c>
      <c r="G13" s="20" t="str">
        <f t="shared" si="2"/>
        <v>Honorable Mention</v>
      </c>
      <c r="H13" s="20" t="str">
        <f t="shared" si="1"/>
        <v/>
      </c>
      <c r="I13" s="15" t="s">
        <v>10</v>
      </c>
      <c r="J13" s="16" t="s">
        <v>75</v>
      </c>
    </row>
    <row r="14" spans="1:30" ht="17" customHeight="1" x14ac:dyDescent="0.15">
      <c r="A14" s="17">
        <v>12</v>
      </c>
      <c r="B14" s="13" t="s">
        <v>31</v>
      </c>
      <c r="C14" s="14" t="s">
        <v>32</v>
      </c>
      <c r="D14" s="14">
        <v>4</v>
      </c>
      <c r="E14" s="20" t="str">
        <f t="shared" si="0"/>
        <v>Bernard Rognon/2. Platz/{herausragendes },</v>
      </c>
      <c r="F14" s="21">
        <f>_xlfn.XLOOKUP(D14,'Bewertung Projekte'!$C$3:$H$3,'Bewertung Projekte'!$C$16:$H$16)</f>
        <v>2</v>
      </c>
      <c r="G14" s="20" t="str">
        <f t="shared" si="2"/>
        <v>2. Platz</v>
      </c>
      <c r="H14" s="20" t="str">
        <f t="shared" si="1"/>
        <v>{herausragendes }</v>
      </c>
      <c r="I14" s="15" t="s">
        <v>7</v>
      </c>
      <c r="J14" s="16" t="s">
        <v>75</v>
      </c>
    </row>
    <row r="15" spans="1:30" ht="18" customHeight="1" x14ac:dyDescent="0.15">
      <c r="A15" s="17">
        <v>13</v>
      </c>
      <c r="B15" s="13" t="s">
        <v>33</v>
      </c>
      <c r="C15" s="14" t="s">
        <v>34</v>
      </c>
      <c r="D15" s="14">
        <v>5</v>
      </c>
      <c r="E15" s="20" t="str">
        <f t="shared" si="0"/>
        <v>Lenny Matteo Schmid/1. Platz/{herausragendes },</v>
      </c>
      <c r="F15" s="21">
        <f>_xlfn.XLOOKUP(D15,'Bewertung Projekte'!$C$3:$H$3,'Bewertung Projekte'!$C$16:$H$16)</f>
        <v>1</v>
      </c>
      <c r="G15" s="20" t="str">
        <f t="shared" si="2"/>
        <v>1. Platz</v>
      </c>
      <c r="H15" s="20" t="str">
        <f t="shared" si="1"/>
        <v>{herausragendes }</v>
      </c>
      <c r="I15" s="15" t="s">
        <v>7</v>
      </c>
      <c r="J15" s="16" t="s">
        <v>75</v>
      </c>
    </row>
    <row r="16" spans="1:30" ht="18" customHeight="1" x14ac:dyDescent="0.15">
      <c r="A16" s="17">
        <v>14</v>
      </c>
      <c r="B16" s="13" t="s">
        <v>35</v>
      </c>
      <c r="C16" s="14" t="s">
        <v>36</v>
      </c>
      <c r="D16" s="14">
        <v>1</v>
      </c>
      <c r="E16" s="20" t="str">
        <f t="shared" si="0"/>
        <v>Julius Schöner/3. Platz/{herausragendes },</v>
      </c>
      <c r="F16" s="21">
        <f>_xlfn.XLOOKUP(D16,'Bewertung Projekte'!$C$3:$H$3,'Bewertung Projekte'!$C$16:$H$16)</f>
        <v>3</v>
      </c>
      <c r="G16" s="20" t="str">
        <f t="shared" si="2"/>
        <v>3. Platz</v>
      </c>
      <c r="H16" s="20" t="str">
        <f>IF(ISERR(FIND("Platz",G16)),"","{herausragendes }")</f>
        <v>{herausragendes }</v>
      </c>
      <c r="I16" s="15" t="s">
        <v>7</v>
      </c>
      <c r="J16" s="16" t="s">
        <v>75</v>
      </c>
    </row>
    <row r="17" spans="1:11" ht="48" customHeight="1" x14ac:dyDescent="0.15">
      <c r="A17" s="23" t="s">
        <v>37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1" ht="17" customHeight="1" x14ac:dyDescent="0.15">
      <c r="A18" s="7" t="s">
        <v>1</v>
      </c>
      <c r="B18" s="8" t="s">
        <v>2</v>
      </c>
      <c r="C18" s="9" t="s">
        <v>3</v>
      </c>
      <c r="D18" s="9" t="s">
        <v>97</v>
      </c>
      <c r="E18" s="18" t="s">
        <v>98</v>
      </c>
      <c r="F18" s="19" t="s">
        <v>99</v>
      </c>
      <c r="G18" s="18" t="s">
        <v>99</v>
      </c>
      <c r="H18" s="18" t="s">
        <v>96</v>
      </c>
      <c r="I18" s="10" t="s">
        <v>4</v>
      </c>
      <c r="J18" s="11" t="s">
        <v>105</v>
      </c>
    </row>
    <row r="19" spans="1:11" ht="17" customHeight="1" x14ac:dyDescent="0.15">
      <c r="A19" s="12">
        <v>1</v>
      </c>
      <c r="B19" s="13" t="s">
        <v>38</v>
      </c>
      <c r="C19" s="14" t="s">
        <v>39</v>
      </c>
      <c r="D19" s="14">
        <v>1</v>
      </c>
      <c r="E19" s="20" t="str">
        <f t="shared" ref="E19:E35" si="3">C19&amp;" "&amp;B19 &amp;"/"&amp;G19&amp;"/"&amp;H19&amp;","</f>
        <v>Livio Adorni/Honorable Mention/,</v>
      </c>
      <c r="F19" s="21">
        <f>_xlfn.XLOOKUP(D19,'Bewertung Projekte'!$C$23:$J$23,'Bewertung Projekte'!$C$36:$J$36)</f>
        <v>6</v>
      </c>
      <c r="G19" s="20" t="str">
        <f>IF(F19&lt;4,F19&amp;". Platz", "Honorable Mention")</f>
        <v>Honorable Mention</v>
      </c>
      <c r="H19" s="20" t="str">
        <f t="shared" ref="H19:H35" si="4">IF(ISERR(FIND("Platz",G19)),"","{herausragendes }")</f>
        <v/>
      </c>
      <c r="I19" s="15" t="s">
        <v>40</v>
      </c>
      <c r="J19" s="6"/>
    </row>
    <row r="20" spans="1:11" ht="18" customHeight="1" x14ac:dyDescent="0.15">
      <c r="A20" s="12">
        <v>2</v>
      </c>
      <c r="B20" s="13" t="s">
        <v>41</v>
      </c>
      <c r="C20" s="14" t="s">
        <v>42</v>
      </c>
      <c r="D20" s="14">
        <v>5</v>
      </c>
      <c r="E20" s="20" t="str">
        <f t="shared" si="3"/>
        <v>Jonas Billeter/Honorable Mention/,</v>
      </c>
      <c r="F20" s="21">
        <f>_xlfn.XLOOKUP(D20,'Bewertung Projekte'!$C$23:$J$23,'Bewertung Projekte'!$C$36:$J$36)</f>
        <v>4</v>
      </c>
      <c r="G20" s="20" t="str">
        <f t="shared" ref="G20:G35" si="5">IF(F20&lt;4,F20&amp;". Platz", "Honorable Mention")</f>
        <v>Honorable Mention</v>
      </c>
      <c r="H20" s="20" t="str">
        <f t="shared" si="4"/>
        <v/>
      </c>
      <c r="I20" s="15" t="s">
        <v>43</v>
      </c>
      <c r="J20" s="6"/>
    </row>
    <row r="21" spans="1:11" ht="17" customHeight="1" x14ac:dyDescent="0.15">
      <c r="A21" s="12">
        <v>3</v>
      </c>
      <c r="B21" s="13" t="s">
        <v>44</v>
      </c>
      <c r="C21" s="14" t="s">
        <v>45</v>
      </c>
      <c r="D21" s="14">
        <v>3</v>
      </c>
      <c r="E21" s="20" t="str">
        <f t="shared" si="3"/>
        <v>Timo Bloch/1. Platz/{herausragendes },</v>
      </c>
      <c r="F21" s="21">
        <f>_xlfn.XLOOKUP(D21,'Bewertung Projekte'!$C$23:$J$23,'Bewertung Projekte'!$C$36:$J$36)</f>
        <v>1</v>
      </c>
      <c r="G21" s="20" t="str">
        <f t="shared" si="5"/>
        <v>1. Platz</v>
      </c>
      <c r="H21" s="20" t="str">
        <f t="shared" si="4"/>
        <v>{herausragendes }</v>
      </c>
      <c r="I21" s="15" t="s">
        <v>46</v>
      </c>
      <c r="J21" s="6"/>
    </row>
    <row r="22" spans="1:11" ht="18" customHeight="1" x14ac:dyDescent="0.15">
      <c r="A22" s="12">
        <v>4</v>
      </c>
      <c r="B22" s="13" t="s">
        <v>47</v>
      </c>
      <c r="C22" s="14" t="s">
        <v>48</v>
      </c>
      <c r="D22" s="14">
        <v>3</v>
      </c>
      <c r="E22" s="20" t="str">
        <f t="shared" si="3"/>
        <v>Joris Boogman/1. Platz/{herausragendes },</v>
      </c>
      <c r="F22" s="21">
        <f>_xlfn.XLOOKUP(D22,'Bewertung Projekte'!$C$23:$J$23,'Bewertung Projekte'!$C$36:$J$36)</f>
        <v>1</v>
      </c>
      <c r="G22" s="20" t="str">
        <f t="shared" si="5"/>
        <v>1. Platz</v>
      </c>
      <c r="H22" s="20" t="str">
        <f t="shared" si="4"/>
        <v>{herausragendes }</v>
      </c>
      <c r="I22" s="15" t="s">
        <v>49</v>
      </c>
      <c r="J22" s="6"/>
    </row>
    <row r="23" spans="1:11" ht="18" customHeight="1" x14ac:dyDescent="0.15">
      <c r="A23" s="12">
        <v>5</v>
      </c>
      <c r="B23" s="13" t="s">
        <v>50</v>
      </c>
      <c r="C23" s="14" t="s">
        <v>51</v>
      </c>
      <c r="D23" s="14">
        <v>1</v>
      </c>
      <c r="E23" s="20" t="str">
        <f t="shared" si="3"/>
        <v>Tim Bretscher/Honorable Mention/,</v>
      </c>
      <c r="F23" s="21">
        <f>_xlfn.XLOOKUP(D23,'Bewertung Projekte'!$C$23:$J$23,'Bewertung Projekte'!$C$36:$J$36)</f>
        <v>6</v>
      </c>
      <c r="G23" s="20" t="str">
        <f t="shared" si="5"/>
        <v>Honorable Mention</v>
      </c>
      <c r="H23" s="20" t="str">
        <f t="shared" si="4"/>
        <v/>
      </c>
      <c r="I23" s="15" t="s">
        <v>40</v>
      </c>
      <c r="J23" s="6"/>
    </row>
    <row r="24" spans="1:11" ht="17" customHeight="1" x14ac:dyDescent="0.15">
      <c r="A24" s="12">
        <v>6</v>
      </c>
      <c r="B24" s="13" t="s">
        <v>52</v>
      </c>
      <c r="C24" s="14" t="s">
        <v>109</v>
      </c>
      <c r="D24" s="14">
        <v>2</v>
      </c>
      <c r="E24" s="20" t="str">
        <f t="shared" si="3"/>
        <v>Sophie Joy Haltinner/2. Platz/{herausragendes },</v>
      </c>
      <c r="F24" s="21">
        <f>_xlfn.XLOOKUP(D24,'Bewertung Projekte'!$C$23:$J$23,'Bewertung Projekte'!$C$36:$J$36)</f>
        <v>2</v>
      </c>
      <c r="G24" s="20" t="str">
        <f t="shared" si="5"/>
        <v>2. Platz</v>
      </c>
      <c r="H24" s="20" t="str">
        <f t="shared" si="4"/>
        <v>{herausragendes }</v>
      </c>
      <c r="I24" s="15" t="s">
        <v>46</v>
      </c>
      <c r="J24" s="6"/>
    </row>
    <row r="25" spans="1:11" ht="18" customHeight="1" x14ac:dyDescent="0.15">
      <c r="A25" s="12">
        <v>7</v>
      </c>
      <c r="B25" s="13" t="s">
        <v>53</v>
      </c>
      <c r="C25" s="14" t="s">
        <v>54</v>
      </c>
      <c r="D25" s="14">
        <v>8</v>
      </c>
      <c r="E25" s="20" t="str">
        <f t="shared" si="3"/>
        <v>Julien Hirsiger/Honorable Mention/,</v>
      </c>
      <c r="F25" s="21">
        <f>_xlfn.XLOOKUP(D25,'Bewertung Projekte'!$C$23:$J$23,'Bewertung Projekte'!$C$36:$J$36)</f>
        <v>8</v>
      </c>
      <c r="G25" s="20" t="str">
        <f t="shared" si="5"/>
        <v>Honorable Mention</v>
      </c>
      <c r="H25" s="20" t="str">
        <f t="shared" si="4"/>
        <v/>
      </c>
      <c r="I25" s="15" t="s">
        <v>55</v>
      </c>
      <c r="J25" s="6"/>
    </row>
    <row r="26" spans="1:11" ht="17" customHeight="1" x14ac:dyDescent="0.15">
      <c r="A26" s="12">
        <v>8</v>
      </c>
      <c r="B26" s="13" t="s">
        <v>56</v>
      </c>
      <c r="C26" s="14" t="s">
        <v>57</v>
      </c>
      <c r="D26" s="14">
        <v>1</v>
      </c>
      <c r="E26" s="20" t="str">
        <f t="shared" si="3"/>
        <v>Clemens Holzschuster/Honorable Mention/,</v>
      </c>
      <c r="F26" s="21">
        <f>_xlfn.XLOOKUP(D26,'Bewertung Projekte'!$C$23:$J$23,'Bewertung Projekte'!$C$36:$J$36)</f>
        <v>6</v>
      </c>
      <c r="G26" s="20" t="str">
        <f t="shared" si="5"/>
        <v>Honorable Mention</v>
      </c>
      <c r="H26" s="20" t="str">
        <f t="shared" si="4"/>
        <v/>
      </c>
      <c r="I26" s="15" t="s">
        <v>40</v>
      </c>
      <c r="J26" s="6"/>
    </row>
    <row r="27" spans="1:11" ht="18" customHeight="1" x14ac:dyDescent="0.15">
      <c r="A27" s="12">
        <v>9</v>
      </c>
      <c r="B27" s="13" t="s">
        <v>58</v>
      </c>
      <c r="C27" s="14" t="s">
        <v>59</v>
      </c>
      <c r="D27" s="14">
        <v>6</v>
      </c>
      <c r="E27" s="20" t="str">
        <f t="shared" si="3"/>
        <v>Carpie Kasongo Basuiye/3. Platz/{herausragendes },</v>
      </c>
      <c r="F27" s="21">
        <f>_xlfn.XLOOKUP(D27,'Bewertung Projekte'!$C$23:$J$23,'Bewertung Projekte'!$C$36:$J$36)</f>
        <v>3</v>
      </c>
      <c r="G27" s="20" t="str">
        <f t="shared" si="5"/>
        <v>3. Platz</v>
      </c>
      <c r="H27" s="20" t="str">
        <f t="shared" si="4"/>
        <v>{herausragendes }</v>
      </c>
      <c r="I27" s="15" t="s">
        <v>40</v>
      </c>
      <c r="J27" s="6"/>
    </row>
    <row r="28" spans="1:11" ht="17" customHeight="1" x14ac:dyDescent="0.15">
      <c r="A28" s="17">
        <v>10</v>
      </c>
      <c r="B28" s="13" t="s">
        <v>60</v>
      </c>
      <c r="C28" s="14" t="s">
        <v>61</v>
      </c>
      <c r="D28" s="14">
        <v>6</v>
      </c>
      <c r="E28" s="20" t="str">
        <f t="shared" si="3"/>
        <v>Iman Lee/3. Platz/{herausragendes },</v>
      </c>
      <c r="F28" s="21">
        <f>_xlfn.XLOOKUP(D28,'Bewertung Projekte'!$C$23:$J$23,'Bewertung Projekte'!$C$36:$J$36)</f>
        <v>3</v>
      </c>
      <c r="G28" s="20" t="str">
        <f t="shared" si="5"/>
        <v>3. Platz</v>
      </c>
      <c r="H28" s="20" t="str">
        <f t="shared" si="4"/>
        <v>{herausragendes }</v>
      </c>
      <c r="I28" s="15" t="s">
        <v>40</v>
      </c>
      <c r="J28" s="6"/>
    </row>
    <row r="29" spans="1:11" ht="18" customHeight="1" x14ac:dyDescent="0.15">
      <c r="A29" s="17">
        <v>11</v>
      </c>
      <c r="B29" s="13" t="s">
        <v>62</v>
      </c>
      <c r="C29" s="14" t="s">
        <v>63</v>
      </c>
      <c r="D29" s="14">
        <v>5</v>
      </c>
      <c r="E29" s="20" t="str">
        <f t="shared" si="3"/>
        <v>Vincent Eric Leumann/Honorable Mention/,</v>
      </c>
      <c r="F29" s="21">
        <f>_xlfn.XLOOKUP(D29,'Bewertung Projekte'!$C$23:$J$23,'Bewertung Projekte'!$C$36:$J$36)</f>
        <v>4</v>
      </c>
      <c r="G29" s="20" t="str">
        <f t="shared" si="5"/>
        <v>Honorable Mention</v>
      </c>
      <c r="H29" s="20" t="str">
        <f t="shared" si="4"/>
        <v/>
      </c>
      <c r="I29" s="15" t="s">
        <v>43</v>
      </c>
      <c r="J29" s="6"/>
      <c r="K29" s="1" t="s">
        <v>86</v>
      </c>
    </row>
    <row r="30" spans="1:11" ht="17" customHeight="1" x14ac:dyDescent="0.15">
      <c r="A30" s="17">
        <v>12</v>
      </c>
      <c r="B30" s="13" t="s">
        <v>64</v>
      </c>
      <c r="C30" s="14" t="s">
        <v>65</v>
      </c>
      <c r="D30" s="14">
        <v>6</v>
      </c>
      <c r="E30" s="20" t="str">
        <f t="shared" si="3"/>
        <v>Nour el Zahra Mostafa/3. Platz/{herausragendes },</v>
      </c>
      <c r="F30" s="21">
        <f>_xlfn.XLOOKUP(D30,'Bewertung Projekte'!$C$23:$J$23,'Bewertung Projekte'!$C$36:$J$36)</f>
        <v>3</v>
      </c>
      <c r="G30" s="20" t="str">
        <f t="shared" si="5"/>
        <v>3. Platz</v>
      </c>
      <c r="H30" s="20" t="str">
        <f t="shared" si="4"/>
        <v>{herausragendes }</v>
      </c>
      <c r="I30" s="15" t="s">
        <v>40</v>
      </c>
      <c r="J30" s="6"/>
    </row>
    <row r="31" spans="1:11" ht="18" customHeight="1" x14ac:dyDescent="0.15">
      <c r="A31" s="17">
        <v>13</v>
      </c>
      <c r="B31" s="13" t="s">
        <v>66</v>
      </c>
      <c r="C31" s="14" t="s">
        <v>67</v>
      </c>
      <c r="D31" s="14">
        <v>1</v>
      </c>
      <c r="E31" s="20" t="str">
        <f t="shared" si="3"/>
        <v>Lenny Schnetzer/Honorable Mention/,</v>
      </c>
      <c r="F31" s="21">
        <f>_xlfn.XLOOKUP(D31,'Bewertung Projekte'!$C$23:$J$23,'Bewertung Projekte'!$C$36:$J$36)</f>
        <v>6</v>
      </c>
      <c r="G31" s="20" t="str">
        <f t="shared" si="5"/>
        <v>Honorable Mention</v>
      </c>
      <c r="H31" s="20" t="str">
        <f t="shared" si="4"/>
        <v/>
      </c>
      <c r="I31" s="15" t="s">
        <v>68</v>
      </c>
      <c r="J31" s="6"/>
    </row>
    <row r="32" spans="1:11" ht="18" customHeight="1" x14ac:dyDescent="0.15">
      <c r="A32" s="17">
        <v>14</v>
      </c>
      <c r="B32" s="13" t="s">
        <v>69</v>
      </c>
      <c r="C32" s="14" t="s">
        <v>70</v>
      </c>
      <c r="D32" s="14">
        <v>4</v>
      </c>
      <c r="E32" s="20" t="str">
        <f t="shared" si="3"/>
        <v>Tom Schnyder/Honorable Mention/,</v>
      </c>
      <c r="F32" s="21">
        <f>_xlfn.XLOOKUP(D32,'Bewertung Projekte'!$C$23:$J$23,'Bewertung Projekte'!$C$36:$J$36)</f>
        <v>7</v>
      </c>
      <c r="G32" s="20" t="str">
        <f t="shared" si="5"/>
        <v>Honorable Mention</v>
      </c>
      <c r="H32" s="20" t="str">
        <f t="shared" si="4"/>
        <v/>
      </c>
      <c r="I32" s="15" t="s">
        <v>43</v>
      </c>
      <c r="J32" s="6"/>
    </row>
    <row r="33" spans="1:10" ht="17" customHeight="1" x14ac:dyDescent="0.15">
      <c r="A33" s="17">
        <v>15</v>
      </c>
      <c r="B33" s="13" t="s">
        <v>71</v>
      </c>
      <c r="C33" s="14" t="s">
        <v>72</v>
      </c>
      <c r="D33" s="14">
        <v>2</v>
      </c>
      <c r="E33" s="20" t="str">
        <f t="shared" si="3"/>
        <v>Filippo Straumann/2. Platz/{herausragendes },</v>
      </c>
      <c r="F33" s="21">
        <f>_xlfn.XLOOKUP(D33,'Bewertung Projekte'!$C$23:$J$23,'Bewertung Projekte'!$C$36:$J$36)</f>
        <v>2</v>
      </c>
      <c r="G33" s="20" t="str">
        <f t="shared" si="5"/>
        <v>2. Platz</v>
      </c>
      <c r="H33" s="20" t="str">
        <f t="shared" si="4"/>
        <v>{herausragendes }</v>
      </c>
      <c r="I33" s="15" t="s">
        <v>46</v>
      </c>
      <c r="J33" s="6"/>
    </row>
    <row r="34" spans="1:10" ht="18.25" customHeight="1" x14ac:dyDescent="0.15">
      <c r="A34" s="17">
        <v>16</v>
      </c>
      <c r="B34" s="13" t="s">
        <v>73</v>
      </c>
      <c r="C34" s="14" t="s">
        <v>74</v>
      </c>
      <c r="D34" s="14">
        <v>4</v>
      </c>
      <c r="E34" s="20" t="str">
        <f t="shared" si="3"/>
        <v>Yannick Widler/Honorable Mention/,</v>
      </c>
      <c r="F34" s="21">
        <f>_xlfn.XLOOKUP(D34,'Bewertung Projekte'!$C$23:$J$23,'Bewertung Projekte'!$C$36:$J$36)</f>
        <v>7</v>
      </c>
      <c r="G34" s="20" t="str">
        <f t="shared" si="5"/>
        <v>Honorable Mention</v>
      </c>
      <c r="H34" s="20" t="str">
        <f t="shared" si="4"/>
        <v/>
      </c>
      <c r="I34" s="15" t="s">
        <v>43</v>
      </c>
      <c r="J34" s="6"/>
    </row>
    <row r="35" spans="1:10" ht="18.25" customHeight="1" x14ac:dyDescent="0.15">
      <c r="A35" s="17">
        <v>17</v>
      </c>
      <c r="B35" s="13" t="s">
        <v>77</v>
      </c>
      <c r="C35" s="14" t="s">
        <v>78</v>
      </c>
      <c r="D35" s="14">
        <v>7</v>
      </c>
      <c r="E35" s="20" t="str">
        <f t="shared" si="3"/>
        <v>Daniil Domashenko/Honorable Mention/,</v>
      </c>
      <c r="F35" s="21">
        <f>_xlfn.XLOOKUP(D35,'Bewertung Projekte'!$C$23:$J$23,'Bewertung Projekte'!$C$36:$J$36)</f>
        <v>4</v>
      </c>
      <c r="G35" s="20" t="str">
        <f t="shared" si="5"/>
        <v>Honorable Mention</v>
      </c>
      <c r="H35" s="20" t="str">
        <f t="shared" si="4"/>
        <v/>
      </c>
      <c r="I35" s="15" t="s">
        <v>79</v>
      </c>
      <c r="J35" s="6"/>
    </row>
  </sheetData>
  <mergeCells count="2">
    <mergeCell ref="A1:J1"/>
    <mergeCell ref="A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5AB6-1562-574B-8E26-E259D3429CAC}">
  <dimension ref="A1:R36"/>
  <sheetViews>
    <sheetView tabSelected="1" zoomScale="125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H32" sqref="H32"/>
    </sheetView>
  </sheetViews>
  <sheetFormatPr baseColWidth="10" defaultRowHeight="13" x14ac:dyDescent="0.15"/>
  <cols>
    <col min="1" max="1" width="6" customWidth="1"/>
    <col min="2" max="2" width="26.3984375" customWidth="1"/>
    <col min="3" max="3" width="15.3984375" bestFit="1" customWidth="1"/>
    <col min="4" max="4" width="7.19921875" bestFit="1" customWidth="1"/>
    <col min="5" max="5" width="14.796875" bestFit="1" customWidth="1"/>
    <col min="6" max="6" width="6.59765625" bestFit="1" customWidth="1"/>
    <col min="7" max="7" width="12.3984375" bestFit="1" customWidth="1"/>
  </cols>
  <sheetData>
    <row r="1" spans="1:18" x14ac:dyDescent="0.15">
      <c r="A1" s="1" t="s">
        <v>106</v>
      </c>
    </row>
    <row r="2" spans="1:18" x14ac:dyDescent="0.15">
      <c r="C2" s="1" t="s">
        <v>97</v>
      </c>
    </row>
    <row r="3" spans="1:18" x14ac:dyDescent="0.15">
      <c r="A3" t="s">
        <v>88</v>
      </c>
      <c r="B3" t="s">
        <v>87</v>
      </c>
      <c r="C3" s="1">
        <v>1</v>
      </c>
      <c r="D3">
        <v>2</v>
      </c>
      <c r="E3" s="1">
        <v>3</v>
      </c>
      <c r="F3">
        <v>4</v>
      </c>
      <c r="G3">
        <v>5</v>
      </c>
      <c r="H3">
        <v>6</v>
      </c>
    </row>
    <row r="4" spans="1:18" x14ac:dyDescent="0.15">
      <c r="A4" s="1">
        <v>1</v>
      </c>
      <c r="B4" s="1" t="s">
        <v>89</v>
      </c>
      <c r="C4" s="1">
        <v>1</v>
      </c>
      <c r="D4" s="1">
        <v>1</v>
      </c>
      <c r="E4" s="1">
        <v>0</v>
      </c>
      <c r="F4" s="1">
        <v>1</v>
      </c>
      <c r="G4" s="1">
        <v>1</v>
      </c>
      <c r="H4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15">
      <c r="A5" s="1">
        <v>1</v>
      </c>
      <c r="B5" t="s">
        <v>90</v>
      </c>
      <c r="C5">
        <v>1</v>
      </c>
      <c r="D5">
        <v>0.5</v>
      </c>
      <c r="E5" s="1">
        <v>0</v>
      </c>
      <c r="F5">
        <v>0.5</v>
      </c>
      <c r="G5">
        <v>1</v>
      </c>
      <c r="H5">
        <v>1</v>
      </c>
    </row>
    <row r="6" spans="1:18" x14ac:dyDescent="0.15">
      <c r="A6" s="1">
        <v>1</v>
      </c>
      <c r="B6" t="s">
        <v>91</v>
      </c>
      <c r="C6">
        <v>1</v>
      </c>
      <c r="D6">
        <v>1</v>
      </c>
      <c r="E6" s="1">
        <v>0</v>
      </c>
      <c r="F6">
        <v>1</v>
      </c>
      <c r="G6">
        <v>1</v>
      </c>
      <c r="H6">
        <v>0.5</v>
      </c>
    </row>
    <row r="7" spans="1:18" x14ac:dyDescent="0.15">
      <c r="A7" s="1">
        <v>1</v>
      </c>
      <c r="B7" t="s">
        <v>92</v>
      </c>
      <c r="C7">
        <v>1</v>
      </c>
      <c r="D7">
        <v>1</v>
      </c>
      <c r="E7" s="1">
        <v>1</v>
      </c>
      <c r="F7">
        <v>1</v>
      </c>
      <c r="G7">
        <v>1</v>
      </c>
      <c r="H7">
        <v>1</v>
      </c>
    </row>
    <row r="8" spans="1:18" x14ac:dyDescent="0.15">
      <c r="A8" s="1">
        <v>1</v>
      </c>
      <c r="B8" t="s">
        <v>93</v>
      </c>
      <c r="C8">
        <v>1</v>
      </c>
      <c r="D8">
        <v>0</v>
      </c>
      <c r="E8" s="1">
        <v>1</v>
      </c>
      <c r="F8">
        <v>1</v>
      </c>
      <c r="G8">
        <v>1</v>
      </c>
      <c r="H8">
        <v>1</v>
      </c>
    </row>
    <row r="9" spans="1:18" x14ac:dyDescent="0.15">
      <c r="A9" s="1">
        <v>1</v>
      </c>
      <c r="B9" t="s">
        <v>94</v>
      </c>
      <c r="C9">
        <v>1</v>
      </c>
      <c r="D9">
        <v>1</v>
      </c>
      <c r="E9" s="1">
        <v>1</v>
      </c>
      <c r="F9">
        <v>1</v>
      </c>
      <c r="G9">
        <v>1</v>
      </c>
      <c r="H9">
        <v>1</v>
      </c>
    </row>
    <row r="10" spans="1:18" x14ac:dyDescent="0.15">
      <c r="A10" s="1">
        <v>1</v>
      </c>
      <c r="B10" s="1" t="s">
        <v>101</v>
      </c>
      <c r="C10">
        <v>1</v>
      </c>
      <c r="D10">
        <v>0</v>
      </c>
      <c r="E10" s="1">
        <v>0</v>
      </c>
      <c r="F10">
        <v>0</v>
      </c>
      <c r="G10">
        <v>0</v>
      </c>
      <c r="H10">
        <v>0</v>
      </c>
    </row>
    <row r="11" spans="1:18" x14ac:dyDescent="0.15">
      <c r="A11" s="1">
        <v>2</v>
      </c>
      <c r="B11" s="1" t="s">
        <v>102</v>
      </c>
      <c r="C11">
        <v>0.5</v>
      </c>
      <c r="D11">
        <v>0.5</v>
      </c>
      <c r="E11" s="1">
        <v>0.5</v>
      </c>
      <c r="F11">
        <v>1.5</v>
      </c>
      <c r="G11">
        <v>2</v>
      </c>
      <c r="H11">
        <v>1</v>
      </c>
    </row>
    <row r="12" spans="1:18" x14ac:dyDescent="0.15">
      <c r="A12" s="1">
        <v>2</v>
      </c>
      <c r="B12" s="1" t="s">
        <v>103</v>
      </c>
      <c r="C12">
        <v>1</v>
      </c>
      <c r="D12">
        <v>0</v>
      </c>
      <c r="E12" s="1">
        <v>0</v>
      </c>
      <c r="F12">
        <v>1</v>
      </c>
      <c r="G12">
        <v>2</v>
      </c>
      <c r="H12">
        <v>0</v>
      </c>
    </row>
    <row r="13" spans="1:18" x14ac:dyDescent="0.15">
      <c r="A13" s="1">
        <v>2</v>
      </c>
      <c r="B13" s="1" t="s">
        <v>104</v>
      </c>
      <c r="C13">
        <v>0</v>
      </c>
      <c r="D13">
        <v>0</v>
      </c>
      <c r="E13" s="1">
        <v>0</v>
      </c>
      <c r="F13">
        <v>1</v>
      </c>
      <c r="G13">
        <v>0</v>
      </c>
      <c r="H13">
        <v>0</v>
      </c>
    </row>
    <row r="14" spans="1:18" x14ac:dyDescent="0.15">
      <c r="A14" s="1">
        <v>1</v>
      </c>
      <c r="B14" s="1" t="s">
        <v>100</v>
      </c>
      <c r="C14" s="1">
        <v>1</v>
      </c>
      <c r="D14">
        <v>1</v>
      </c>
      <c r="E14" s="1">
        <v>1</v>
      </c>
      <c r="F14" s="1">
        <v>1</v>
      </c>
      <c r="G14">
        <v>1</v>
      </c>
      <c r="H14" s="1">
        <v>1</v>
      </c>
    </row>
    <row r="15" spans="1:18" x14ac:dyDescent="0.15">
      <c r="A15">
        <f>SUM(A4:A14)</f>
        <v>14</v>
      </c>
      <c r="B15" s="5" t="s">
        <v>95</v>
      </c>
      <c r="C15" s="5">
        <f t="shared" ref="C15:H15" si="0">SUM(C4:C14)</f>
        <v>9.5</v>
      </c>
      <c r="D15" s="5">
        <f t="shared" si="0"/>
        <v>6</v>
      </c>
      <c r="E15" s="5">
        <f t="shared" si="0"/>
        <v>4.5</v>
      </c>
      <c r="F15" s="5">
        <f t="shared" si="0"/>
        <v>10</v>
      </c>
      <c r="G15" s="5">
        <f t="shared" si="0"/>
        <v>11</v>
      </c>
      <c r="H15" s="5">
        <f t="shared" si="0"/>
        <v>7.5</v>
      </c>
    </row>
    <row r="16" spans="1:18" x14ac:dyDescent="0.15">
      <c r="B16" s="5" t="s">
        <v>99</v>
      </c>
      <c r="C16">
        <f t="shared" ref="C16:F16" si="1">RANK(C15,$C$15:$H$15)</f>
        <v>3</v>
      </c>
      <c r="D16">
        <f t="shared" si="1"/>
        <v>5</v>
      </c>
      <c r="E16" s="1">
        <f t="shared" si="1"/>
        <v>6</v>
      </c>
      <c r="F16">
        <f t="shared" si="1"/>
        <v>2</v>
      </c>
      <c r="G16">
        <f>RANK(G15,$C$15:$H$15)</f>
        <v>1</v>
      </c>
      <c r="H16">
        <f t="shared" ref="H16" si="2">RANK(H15,$C$15:$H$15)</f>
        <v>4</v>
      </c>
    </row>
    <row r="21" spans="1:10" x14ac:dyDescent="0.15">
      <c r="A21" s="1" t="s">
        <v>107</v>
      </c>
    </row>
    <row r="22" spans="1:10" x14ac:dyDescent="0.15">
      <c r="C22" s="1" t="s">
        <v>97</v>
      </c>
    </row>
    <row r="23" spans="1:10" x14ac:dyDescent="0.15">
      <c r="A23" t="s">
        <v>88</v>
      </c>
      <c r="B23" t="s">
        <v>87</v>
      </c>
      <c r="C23" s="1">
        <v>1</v>
      </c>
      <c r="D23">
        <v>2</v>
      </c>
      <c r="E23" s="1">
        <v>3</v>
      </c>
      <c r="F23">
        <v>4</v>
      </c>
      <c r="G23">
        <v>5</v>
      </c>
      <c r="H23">
        <v>6</v>
      </c>
      <c r="I23">
        <v>7</v>
      </c>
      <c r="J23">
        <v>8</v>
      </c>
    </row>
    <row r="24" spans="1:10" x14ac:dyDescent="0.15">
      <c r="A24" s="1">
        <v>1</v>
      </c>
      <c r="B24" s="1" t="s">
        <v>89</v>
      </c>
      <c r="C24" s="1">
        <v>1</v>
      </c>
      <c r="D24" s="1">
        <v>1</v>
      </c>
      <c r="E24" s="1">
        <v>0</v>
      </c>
      <c r="F24" s="1">
        <v>1</v>
      </c>
      <c r="G24" s="1">
        <v>1</v>
      </c>
      <c r="H24">
        <v>1</v>
      </c>
      <c r="I24">
        <v>1</v>
      </c>
      <c r="J24" s="1" t="s">
        <v>108</v>
      </c>
    </row>
    <row r="25" spans="1:10" x14ac:dyDescent="0.15">
      <c r="A25" s="1">
        <v>1</v>
      </c>
      <c r="B25" t="s">
        <v>90</v>
      </c>
      <c r="C25">
        <v>1</v>
      </c>
      <c r="D25">
        <v>1</v>
      </c>
      <c r="E25" s="1">
        <v>1</v>
      </c>
      <c r="F25">
        <v>1</v>
      </c>
      <c r="G25">
        <v>1</v>
      </c>
      <c r="H25">
        <v>1</v>
      </c>
      <c r="I25">
        <v>1</v>
      </c>
    </row>
    <row r="26" spans="1:10" x14ac:dyDescent="0.15">
      <c r="A26" s="1">
        <v>1</v>
      </c>
      <c r="B26" t="s">
        <v>91</v>
      </c>
      <c r="C26">
        <v>1</v>
      </c>
      <c r="D26">
        <v>1</v>
      </c>
      <c r="E26" s="1">
        <v>0</v>
      </c>
      <c r="F26">
        <v>0</v>
      </c>
      <c r="G26">
        <v>1</v>
      </c>
      <c r="H26">
        <v>1</v>
      </c>
      <c r="I26">
        <v>0</v>
      </c>
    </row>
    <row r="27" spans="1:10" x14ac:dyDescent="0.15">
      <c r="A27" s="1">
        <v>1</v>
      </c>
      <c r="B27" t="s">
        <v>92</v>
      </c>
      <c r="C27">
        <v>1</v>
      </c>
      <c r="D27">
        <v>1</v>
      </c>
      <c r="E27" s="1">
        <v>1</v>
      </c>
      <c r="F27">
        <v>1</v>
      </c>
      <c r="G27">
        <v>1</v>
      </c>
      <c r="H27">
        <v>1</v>
      </c>
      <c r="I27">
        <v>1</v>
      </c>
    </row>
    <row r="28" spans="1:10" x14ac:dyDescent="0.15">
      <c r="A28" s="1">
        <v>1</v>
      </c>
      <c r="B28" t="s">
        <v>93</v>
      </c>
      <c r="C28">
        <v>0</v>
      </c>
      <c r="D28">
        <v>0</v>
      </c>
      <c r="E28" s="1">
        <v>0</v>
      </c>
      <c r="F28">
        <v>0</v>
      </c>
      <c r="G28">
        <v>0</v>
      </c>
      <c r="H28">
        <v>0</v>
      </c>
      <c r="I28">
        <v>0</v>
      </c>
    </row>
    <row r="29" spans="1:10" x14ac:dyDescent="0.15">
      <c r="A29" s="1">
        <v>1</v>
      </c>
      <c r="B29" t="s">
        <v>94</v>
      </c>
      <c r="C29">
        <v>0</v>
      </c>
      <c r="D29">
        <v>1</v>
      </c>
      <c r="E29" s="1">
        <v>1</v>
      </c>
      <c r="F29">
        <v>0</v>
      </c>
      <c r="G29">
        <v>1</v>
      </c>
      <c r="H29">
        <v>0.5</v>
      </c>
      <c r="I29">
        <v>1</v>
      </c>
    </row>
    <row r="30" spans="1:10" x14ac:dyDescent="0.15">
      <c r="A30" s="1">
        <v>1</v>
      </c>
      <c r="B30" s="1" t="s">
        <v>101</v>
      </c>
      <c r="C30">
        <v>0</v>
      </c>
      <c r="D30">
        <v>0</v>
      </c>
      <c r="E30" s="1">
        <v>1</v>
      </c>
      <c r="F30">
        <v>0</v>
      </c>
      <c r="G30">
        <v>0</v>
      </c>
      <c r="H30">
        <v>1</v>
      </c>
      <c r="I30">
        <v>1</v>
      </c>
    </row>
    <row r="31" spans="1:10" x14ac:dyDescent="0.15">
      <c r="A31" s="1">
        <v>2</v>
      </c>
      <c r="B31" s="1" t="s">
        <v>102</v>
      </c>
      <c r="C31">
        <v>0.5</v>
      </c>
      <c r="D31">
        <v>2</v>
      </c>
      <c r="E31" s="1">
        <v>2</v>
      </c>
      <c r="F31">
        <v>0.5</v>
      </c>
      <c r="G31">
        <v>1.5</v>
      </c>
      <c r="H31">
        <v>1.5</v>
      </c>
      <c r="I31">
        <v>1.5</v>
      </c>
    </row>
    <row r="32" spans="1:10" x14ac:dyDescent="0.15">
      <c r="A32" s="1">
        <v>2</v>
      </c>
      <c r="B32" s="1" t="s">
        <v>103</v>
      </c>
      <c r="C32">
        <v>0</v>
      </c>
      <c r="D32">
        <v>1</v>
      </c>
      <c r="E32" s="1">
        <v>1</v>
      </c>
      <c r="F32">
        <v>0</v>
      </c>
      <c r="G32">
        <v>0</v>
      </c>
      <c r="H32">
        <v>0</v>
      </c>
      <c r="I32">
        <v>0</v>
      </c>
    </row>
    <row r="33" spans="1:10" x14ac:dyDescent="0.15">
      <c r="A33" s="1">
        <v>2</v>
      </c>
      <c r="B33" s="1" t="s">
        <v>104</v>
      </c>
      <c r="C33">
        <v>0</v>
      </c>
      <c r="D33">
        <v>0</v>
      </c>
      <c r="E33" s="1">
        <v>1.5</v>
      </c>
      <c r="F33">
        <v>0</v>
      </c>
      <c r="G33">
        <v>0</v>
      </c>
      <c r="H33">
        <v>0</v>
      </c>
      <c r="I33">
        <v>0</v>
      </c>
    </row>
    <row r="34" spans="1:10" x14ac:dyDescent="0.15">
      <c r="A34" s="1">
        <v>1</v>
      </c>
      <c r="B34" s="1" t="s">
        <v>100</v>
      </c>
      <c r="C34" s="1">
        <v>1</v>
      </c>
      <c r="D34">
        <v>1</v>
      </c>
      <c r="E34" s="1">
        <v>1</v>
      </c>
      <c r="F34" s="1">
        <v>0.5</v>
      </c>
      <c r="G34">
        <v>1</v>
      </c>
      <c r="H34" s="1">
        <v>1</v>
      </c>
      <c r="I34">
        <v>1</v>
      </c>
    </row>
    <row r="35" spans="1:10" x14ac:dyDescent="0.15">
      <c r="A35">
        <f>SUM(A24:A34)</f>
        <v>14</v>
      </c>
      <c r="B35" s="5" t="s">
        <v>95</v>
      </c>
      <c r="C35" s="5">
        <f t="shared" ref="C35:J35" si="3">SUM(C24:C34)</f>
        <v>5.5</v>
      </c>
      <c r="D35" s="5">
        <f t="shared" si="3"/>
        <v>9</v>
      </c>
      <c r="E35" s="5">
        <f t="shared" si="3"/>
        <v>9.5</v>
      </c>
      <c r="F35" s="5">
        <f t="shared" si="3"/>
        <v>4</v>
      </c>
      <c r="G35" s="5">
        <f t="shared" si="3"/>
        <v>7.5</v>
      </c>
      <c r="H35" s="5">
        <f t="shared" si="3"/>
        <v>8</v>
      </c>
      <c r="I35" s="5">
        <f t="shared" si="3"/>
        <v>7.5</v>
      </c>
      <c r="J35" s="5">
        <f t="shared" si="3"/>
        <v>0</v>
      </c>
    </row>
    <row r="36" spans="1:10" x14ac:dyDescent="0.15">
      <c r="B36" s="5" t="s">
        <v>99</v>
      </c>
      <c r="C36">
        <f t="shared" ref="C36:I36" si="4">RANK(C35,$C$35:$J$35)</f>
        <v>6</v>
      </c>
      <c r="D36">
        <f t="shared" si="4"/>
        <v>2</v>
      </c>
      <c r="E36">
        <f t="shared" si="4"/>
        <v>1</v>
      </c>
      <c r="F36">
        <f t="shared" si="4"/>
        <v>7</v>
      </c>
      <c r="G36">
        <f t="shared" si="4"/>
        <v>4</v>
      </c>
      <c r="H36">
        <f t="shared" si="4"/>
        <v>3</v>
      </c>
      <c r="I36">
        <f t="shared" si="4"/>
        <v>4</v>
      </c>
      <c r="J36">
        <f>RANK(J35,$C$35:$J$35)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BA99-117A-BA4C-87EB-B3D531E59314}">
  <dimension ref="A1:B20"/>
  <sheetViews>
    <sheetView topLeftCell="A14" zoomScale="363" workbookViewId="0">
      <selection activeCell="A17" sqref="A17"/>
    </sheetView>
  </sheetViews>
  <sheetFormatPr baseColWidth="10" defaultRowHeight="13" x14ac:dyDescent="0.15"/>
  <sheetData>
    <row r="1" spans="1:2" x14ac:dyDescent="0.15">
      <c r="A1" s="4" t="s">
        <v>80</v>
      </c>
    </row>
    <row r="2" spans="1:2" x14ac:dyDescent="0.15">
      <c r="A2" s="2">
        <v>5</v>
      </c>
      <c r="B2" s="1" t="s">
        <v>81</v>
      </c>
    </row>
    <row r="3" spans="1:2" x14ac:dyDescent="0.15">
      <c r="A3" s="3">
        <f>146.25/(TN!A16+2)</f>
        <v>9.140625</v>
      </c>
      <c r="B3" s="1" t="s">
        <v>82</v>
      </c>
    </row>
    <row r="4" spans="1:2" x14ac:dyDescent="0.15">
      <c r="A4" s="3">
        <v>15</v>
      </c>
      <c r="B4" s="1" t="s">
        <v>83</v>
      </c>
    </row>
    <row r="5" spans="1:2" x14ac:dyDescent="0.15">
      <c r="A5" s="3">
        <f>SUM(A2:A4)</f>
        <v>29.140625</v>
      </c>
      <c r="B5" s="1" t="s">
        <v>84</v>
      </c>
    </row>
    <row r="16" spans="1:2" x14ac:dyDescent="0.15">
      <c r="A16" s="4" t="s">
        <v>80</v>
      </c>
    </row>
    <row r="17" spans="1:2" x14ac:dyDescent="0.15">
      <c r="A17" s="2">
        <v>5</v>
      </c>
      <c r="B17" s="1" t="s">
        <v>81</v>
      </c>
    </row>
    <row r="18" spans="1:2" x14ac:dyDescent="0.15">
      <c r="A18" s="3">
        <f>146.25/(TN!A35+2)</f>
        <v>7.6973684210526319</v>
      </c>
      <c r="B18" s="1" t="s">
        <v>82</v>
      </c>
    </row>
    <row r="19" spans="1:2" x14ac:dyDescent="0.15">
      <c r="A19" s="3">
        <v>15</v>
      </c>
      <c r="B19" s="1" t="s">
        <v>83</v>
      </c>
    </row>
    <row r="20" spans="1:2" x14ac:dyDescent="0.15">
      <c r="A20" s="3">
        <f>SUM(A17:A19)</f>
        <v>27.69736842105263</v>
      </c>
      <c r="B20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TN</vt:lpstr>
      <vt:lpstr>Bewertung Projekte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 Wendl (KLW)</cp:lastModifiedBy>
  <dcterms:created xsi:type="dcterms:W3CDTF">2024-07-09T07:29:34Z</dcterms:created>
  <dcterms:modified xsi:type="dcterms:W3CDTF">2024-07-11T09:24:33Z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Creator">
    <vt:lpwstr>Crystal Reports</vt:lpwstr>
  </property>
  <property fmtid="{D5CDD505-2E9C-101B-9397-08002B2CF9AE}" pid="4" name="LastSaved">
    <vt:filetime>2024-07-09T00:00:00Z</vt:filetime>
  </property>
  <property fmtid="{D5CDD505-2E9C-101B-9397-08002B2CF9AE}" pid="5" name="Producer">
    <vt:lpwstr>Powered By Crystal</vt:lpwstr>
  </property>
</Properties>
</file>