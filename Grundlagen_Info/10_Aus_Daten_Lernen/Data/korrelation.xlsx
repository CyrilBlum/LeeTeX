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rilwendl/Downloads/"/>
    </mc:Choice>
  </mc:AlternateContent>
  <xr:revisionPtr revIDLastSave="0" documentId="13_ncr:1_{DCCDFC67-65BF-CF40-AFA1-87D16D43C808}" xr6:coauthVersionLast="47" xr6:coauthVersionMax="47" xr10:uidLastSave="{00000000-0000-0000-0000-000000000000}"/>
  <bookViews>
    <workbookView xWindow="0" yWindow="760" windowWidth="34560" windowHeight="20300" xr2:uid="{3107B2C7-F1CE-7548-AD98-6F931B399299}"/>
  </bookViews>
  <sheets>
    <sheet name="Beispiel" sheetId="1" r:id="rId1"/>
    <sheet name="Aufgabe 1 (Musterlösung)" sheetId="5" state="hidden" r:id="rId2"/>
    <sheet name="Aufgabe 2 (Musterlösung)" sheetId="6" state="hidden" r:id="rId3"/>
    <sheet name="Aufgabe 1" sheetId="2" r:id="rId4"/>
    <sheet name="Aufgabe 2" sheetId="3" r:id="rId5"/>
    <sheet name="Challenge-Aufgab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C23" i="1"/>
  <c r="B23" i="1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I23" i="6" s="1"/>
  <c r="H3" i="6"/>
  <c r="H23" i="6" s="1"/>
  <c r="J23" i="6" s="1"/>
  <c r="J24" i="6" s="1"/>
  <c r="J23" i="5"/>
  <c r="J24" i="5" s="1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E22" i="6"/>
  <c r="D22" i="6"/>
  <c r="F22" i="6" s="1"/>
  <c r="E21" i="6"/>
  <c r="D21" i="6"/>
  <c r="F21" i="6" s="1"/>
  <c r="E20" i="6"/>
  <c r="D20" i="6"/>
  <c r="F20" i="6" s="1"/>
  <c r="F19" i="6"/>
  <c r="E19" i="6"/>
  <c r="D19" i="6"/>
  <c r="E18" i="6"/>
  <c r="D18" i="6"/>
  <c r="F18" i="6" s="1"/>
  <c r="E17" i="6"/>
  <c r="D17" i="6"/>
  <c r="F17" i="6" s="1"/>
  <c r="E16" i="6"/>
  <c r="F16" i="6" s="1"/>
  <c r="D16" i="6"/>
  <c r="E15" i="6"/>
  <c r="D15" i="6"/>
  <c r="F15" i="6" s="1"/>
  <c r="E14" i="6"/>
  <c r="D14" i="6"/>
  <c r="F14" i="6" s="1"/>
  <c r="E13" i="6"/>
  <c r="D13" i="6"/>
  <c r="F13" i="6" s="1"/>
  <c r="E12" i="6"/>
  <c r="D12" i="6"/>
  <c r="F12" i="6" s="1"/>
  <c r="E11" i="6"/>
  <c r="D11" i="6"/>
  <c r="F11" i="6" s="1"/>
  <c r="E10" i="6"/>
  <c r="D10" i="6"/>
  <c r="F10" i="6" s="1"/>
  <c r="F9" i="6"/>
  <c r="E9" i="6"/>
  <c r="D9" i="6"/>
  <c r="E8" i="6"/>
  <c r="D8" i="6"/>
  <c r="F8" i="6" s="1"/>
  <c r="E7" i="6"/>
  <c r="D7" i="6"/>
  <c r="F7" i="6" s="1"/>
  <c r="E6" i="6"/>
  <c r="F6" i="6" s="1"/>
  <c r="D6" i="6"/>
  <c r="E5" i="6"/>
  <c r="D5" i="6"/>
  <c r="F5" i="6" s="1"/>
  <c r="E4" i="6"/>
  <c r="D4" i="6"/>
  <c r="F4" i="6" s="1"/>
  <c r="E3" i="6"/>
  <c r="D3" i="6"/>
  <c r="F3" i="6" s="1"/>
  <c r="E22" i="5"/>
  <c r="D22" i="5"/>
  <c r="F22" i="5" s="1"/>
  <c r="E21" i="5"/>
  <c r="D21" i="5"/>
  <c r="F21" i="5" s="1"/>
  <c r="E20" i="5"/>
  <c r="D20" i="5"/>
  <c r="F20" i="5" s="1"/>
  <c r="F19" i="5"/>
  <c r="E19" i="5"/>
  <c r="D19" i="5"/>
  <c r="E18" i="5"/>
  <c r="D18" i="5"/>
  <c r="F18" i="5" s="1"/>
  <c r="E17" i="5"/>
  <c r="D17" i="5"/>
  <c r="F17" i="5" s="1"/>
  <c r="E16" i="5"/>
  <c r="F16" i="5" s="1"/>
  <c r="D16" i="5"/>
  <c r="E15" i="5"/>
  <c r="D15" i="5"/>
  <c r="F15" i="5" s="1"/>
  <c r="E14" i="5"/>
  <c r="D14" i="5"/>
  <c r="F14" i="5" s="1"/>
  <c r="E13" i="5"/>
  <c r="D13" i="5"/>
  <c r="F13" i="5" s="1"/>
  <c r="E12" i="5"/>
  <c r="D12" i="5"/>
  <c r="F12" i="5" s="1"/>
  <c r="F11" i="5"/>
  <c r="E11" i="5"/>
  <c r="D11" i="5"/>
  <c r="E10" i="5"/>
  <c r="D10" i="5"/>
  <c r="F10" i="5" s="1"/>
  <c r="F9" i="5"/>
  <c r="E9" i="5"/>
  <c r="D9" i="5"/>
  <c r="E8" i="5"/>
  <c r="D8" i="5"/>
  <c r="F8" i="5" s="1"/>
  <c r="E7" i="5"/>
  <c r="D7" i="5"/>
  <c r="F7" i="5" s="1"/>
  <c r="E6" i="5"/>
  <c r="F6" i="5" s="1"/>
  <c r="D6" i="5"/>
  <c r="E5" i="5"/>
  <c r="D5" i="5"/>
  <c r="F5" i="5" s="1"/>
  <c r="E4" i="5"/>
  <c r="D4" i="5"/>
  <c r="F4" i="5" s="1"/>
  <c r="E3" i="5"/>
  <c r="D3" i="5"/>
  <c r="F3" i="5" s="1"/>
  <c r="C23" i="6"/>
  <c r="B23" i="6"/>
  <c r="C23" i="5"/>
  <c r="B23" i="5"/>
  <c r="E20" i="1"/>
  <c r="D17" i="1"/>
  <c r="E22" i="1"/>
  <c r="E19" i="1"/>
  <c r="F24" i="6" l="1"/>
  <c r="F24" i="5"/>
  <c r="E8" i="1"/>
  <c r="D16" i="1"/>
  <c r="F16" i="1" s="1"/>
  <c r="E9" i="1"/>
  <c r="E4" i="1"/>
  <c r="D19" i="1"/>
  <c r="F19" i="1" s="1"/>
  <c r="D21" i="1"/>
  <c r="E21" i="1"/>
  <c r="E15" i="1"/>
  <c r="D9" i="1"/>
  <c r="D4" i="1"/>
  <c r="E16" i="1"/>
  <c r="D11" i="1"/>
  <c r="D5" i="1"/>
  <c r="E11" i="1"/>
  <c r="E5" i="1"/>
  <c r="D12" i="1"/>
  <c r="D6" i="1"/>
  <c r="E12" i="1"/>
  <c r="E6" i="1"/>
  <c r="D13" i="1"/>
  <c r="E7" i="1"/>
  <c r="E14" i="1"/>
  <c r="D8" i="1"/>
  <c r="F8" i="1" s="1"/>
  <c r="D15" i="1"/>
  <c r="D22" i="1"/>
  <c r="F22" i="1" s="1"/>
  <c r="D18" i="1"/>
  <c r="E18" i="1"/>
  <c r="D14" i="1"/>
  <c r="E17" i="1"/>
  <c r="F17" i="1" s="1"/>
  <c r="E3" i="1"/>
  <c r="D10" i="1"/>
  <c r="E13" i="1"/>
  <c r="F13" i="1" s="1"/>
  <c r="D20" i="1"/>
  <c r="F20" i="1" s="1"/>
  <c r="D7" i="1"/>
  <c r="E10" i="1"/>
  <c r="F5" i="1" l="1"/>
  <c r="F10" i="1"/>
  <c r="F11" i="1"/>
  <c r="F3" i="1"/>
  <c r="F14" i="1"/>
  <c r="F9" i="1"/>
  <c r="F6" i="1"/>
  <c r="F18" i="1"/>
  <c r="F12" i="1"/>
  <c r="F24" i="1" s="1"/>
  <c r="F21" i="1"/>
  <c r="F7" i="1"/>
  <c r="F15" i="1"/>
  <c r="F4" i="1"/>
</calcChain>
</file>

<file path=xl/sharedStrings.xml><?xml version="1.0" encoding="utf-8"?>
<sst xmlns="http://schemas.openxmlformats.org/spreadsheetml/2006/main" count="43" uniqueCount="19">
  <si>
    <t>x (unabhängige Variable)</t>
  </si>
  <si>
    <t>y (abhängige Variable)</t>
  </si>
  <si>
    <t>x'</t>
  </si>
  <si>
    <t>y'</t>
  </si>
  <si>
    <t>x'*y'</t>
  </si>
  <si>
    <t>Mittelwert</t>
  </si>
  <si>
    <t>Z=</t>
  </si>
  <si>
    <t>Berufsjahre</t>
  </si>
  <si>
    <t>Einladungswahrscheinlichkeit</t>
  </si>
  <si>
    <t>Beiträge pro Tag</t>
  </si>
  <si>
    <t>Zufriedenheit</t>
  </si>
  <si>
    <t>y'^2</t>
  </si>
  <si>
    <t>x'^2</t>
  </si>
  <si>
    <t>y: Zufriedenheit</t>
  </si>
  <si>
    <t>x: Beiträge pro Tag</t>
  </si>
  <si>
    <t>x: Berufsjahre</t>
  </si>
  <si>
    <t>y: Einladungswahrscheinlichkeit</t>
  </si>
  <si>
    <t>x: Anzahl Polizeistreifen</t>
  </si>
  <si>
    <t>y: Anzahl Straftaten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</si>
</sst>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2" borderId="0" xfId="0" applyFill="1"/>
    <xf numFmtId="0" fontId="0" fillId="3" borderId="0" xfId="0" applyFill="1"/>
    <xf numFmtId="0" fontId="0" fillId="0" borderId="3" xfId="0" applyBorder="1"/>
    <xf numFmtId="43" fontId="0" fillId="0" borderId="4" xfId="1" applyFont="1" applyBorder="1"/>
    <xf numFmtId="43" fontId="0" fillId="2" borderId="0" xfId="1" applyFont="1" applyFill="1"/>
    <xf numFmtId="43" fontId="0" fillId="3" borderId="0" xfId="1" applyFont="1" applyFill="1"/>
    <xf numFmtId="0" fontId="0" fillId="0" borderId="5" xfId="0" applyBorder="1"/>
    <xf numFmtId="43" fontId="0" fillId="0" borderId="6" xfId="1" applyFont="1" applyBorder="1"/>
    <xf numFmtId="0" fontId="0" fillId="4" borderId="0" xfId="0" applyFill="1"/>
    <xf numFmtId="43" fontId="0" fillId="4" borderId="0" xfId="1" applyFont="1" applyFill="1"/>
    <xf numFmtId="43" fontId="0" fillId="0" borderId="0" xfId="1" applyFont="1"/>
    <xf numFmtId="43" fontId="2" fillId="0" borderId="0" xfId="1" applyFont="1" applyAlignment="1">
      <alignment horizontal="right"/>
    </xf>
    <xf numFmtId="43" fontId="2" fillId="3" borderId="7" xfId="1" applyFont="1" applyFill="1" applyBorder="1"/>
    <xf numFmtId="43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245534</xdr:colOff>
      <xdr:row>24</xdr:row>
      <xdr:rowOff>131234</xdr:rowOff>
    </xdr:from>
    <xdr:to>
      <xdr:col>6</xdr:col>
      <xdr:colOff>664555</xdr:colOff>
      <xdr:row>36</xdr:row>
      <xdr:rowOff>184829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F48D0C0-002F-8F4D-A59A-E72F29C940B7}"/>
            </a:ext>
          </a:extLst>
        </xdr:cNvPr>
        <xdr:cNvSpPr txBox="1"/>
      </xdr:nvSpPr>
      <xdr:spPr>
        <a:xfrm>
          <a:off x="245534" y="5075767"/>
          <a:ext cx="6912954" cy="249199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000">
              <a:solidFill>
                <a:schemeClr val="accent5">
                  <a:lumMod val="20000"/>
                  <a:lumOff val="80000"/>
                </a:schemeClr>
              </a:solidFill>
            </a:rPr>
            <a:t>1. Berechne den Schnitt von x und y (violett)</a:t>
          </a:r>
        </a:p>
        <a:p>
          <a:r>
            <a:rPr lang="de-DE" sz="2000">
              <a:solidFill>
                <a:schemeClr val="accent6">
                  <a:lumMod val="20000"/>
                  <a:lumOff val="80000"/>
                </a:schemeClr>
              </a:solidFill>
            </a:rPr>
            <a:t>2. Berechne </a:t>
          </a:r>
          <a:r>
            <a:rPr lang="de-DE" sz="2000" baseline="0">
              <a:solidFill>
                <a:schemeClr val="accent6">
                  <a:lumMod val="20000"/>
                  <a:lumOff val="80000"/>
                </a:schemeClr>
              </a:solidFill>
            </a:rPr>
            <a:t> x' und y' (also die Abweichung von Mittelwert, grün)</a:t>
          </a:r>
        </a:p>
        <a:p>
          <a:r>
            <a:rPr lang="de-DE" sz="1600" baseline="0">
              <a:solidFill>
                <a:srgbClr val="FF0000"/>
              </a:solidFill>
            </a:rPr>
            <a:t>(Achtung: Zellbezug auf violette Zelle fixieren mit $!)</a:t>
          </a:r>
        </a:p>
        <a:p>
          <a:r>
            <a:rPr lang="de-DE" sz="2000" baseline="0">
              <a:solidFill>
                <a:schemeClr val="accent1">
                  <a:lumMod val="20000"/>
                  <a:lumOff val="80000"/>
                </a:schemeClr>
              </a:solidFill>
            </a:rPr>
            <a:t>3. Berechne x'*y' in der blauen Spalte und summiere die blaue Spalte (blau)</a:t>
          </a:r>
        </a:p>
        <a:p>
          <a:endParaRPr lang="de-DE" sz="2000" baseline="0">
            <a:solidFill>
              <a:schemeClr val="bg1"/>
            </a:solidFill>
          </a:endParaRPr>
        </a:p>
        <a:p>
          <a:r>
            <a:rPr lang="de-DE" sz="2000" baseline="0">
              <a:solidFill>
                <a:schemeClr val="bg1"/>
              </a:solidFill>
            </a:rPr>
            <a:t>Das Resultat Z ist dick umrandet!</a:t>
          </a:r>
        </a:p>
        <a:p>
          <a:endParaRPr lang="de-DE" sz="20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42333</xdr:colOff>
      <xdr:row>13</xdr:row>
      <xdr:rowOff>67734</xdr:rowOff>
    </xdr:from>
    <xdr:to>
      <xdr:col>10</xdr:col>
      <xdr:colOff>381000</xdr:colOff>
      <xdr:row>21</xdr:row>
      <xdr:rowOff>123209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F931271A-884D-15E9-42EB-F868CF1BE548}"/>
            </a:ext>
          </a:extLst>
        </xdr:cNvPr>
        <xdr:cNvSpPr txBox="1"/>
      </xdr:nvSpPr>
      <xdr:spPr>
        <a:xfrm>
          <a:off x="7340094" y="2674077"/>
          <a:ext cx="2812324" cy="164771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000"/>
            <a:t>Auf</a:t>
          </a:r>
          <a:r>
            <a:rPr lang="de-DE" sz="2000" baseline="0"/>
            <a:t> diesem Blatt ist alles schon gemacht! :) Schauen Sie es sich an und wechseln Sie danach zu"Aufgabe 1"</a:t>
          </a:r>
          <a:endParaRPr lang="de-DE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24</xdr:row>
      <xdr:rowOff>12700</xdr:rowOff>
    </xdr:from>
    <xdr:to>
      <xdr:col>7</xdr:col>
      <xdr:colOff>122687</xdr:colOff>
      <xdr:row>36</xdr:row>
      <xdr:rowOff>62062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C3B663D-2DFD-1140-8D03-3EF452E12CA1}"/>
            </a:ext>
          </a:extLst>
        </xdr:cNvPr>
        <xdr:cNvSpPr txBox="1"/>
      </xdr:nvSpPr>
      <xdr:spPr>
        <a:xfrm>
          <a:off x="533400" y="4940300"/>
          <a:ext cx="6891787" cy="248776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000">
              <a:solidFill>
                <a:schemeClr val="accent5">
                  <a:lumMod val="20000"/>
                  <a:lumOff val="80000"/>
                </a:schemeClr>
              </a:solidFill>
            </a:rPr>
            <a:t>1. Berechne den Schnitt von x und y (violett)</a:t>
          </a:r>
        </a:p>
        <a:p>
          <a:r>
            <a:rPr lang="de-DE" sz="2000">
              <a:solidFill>
                <a:schemeClr val="accent6">
                  <a:lumMod val="20000"/>
                  <a:lumOff val="80000"/>
                </a:schemeClr>
              </a:solidFill>
            </a:rPr>
            <a:t>2. Berechne </a:t>
          </a:r>
          <a:r>
            <a:rPr lang="de-DE" sz="2000" baseline="0">
              <a:solidFill>
                <a:schemeClr val="accent6">
                  <a:lumMod val="20000"/>
                  <a:lumOff val="80000"/>
                </a:schemeClr>
              </a:solidFill>
            </a:rPr>
            <a:t> x' und y' (also die Abweichung von Mittelwert, grün)</a:t>
          </a:r>
        </a:p>
        <a:p>
          <a:r>
            <a:rPr lang="de-DE" sz="1600" baseline="0">
              <a:solidFill>
                <a:srgbClr val="FF0000"/>
              </a:solidFill>
            </a:rPr>
            <a:t>(Achtung: Zellbezug auf violette Zelle fixieren mit $!)</a:t>
          </a:r>
        </a:p>
        <a:p>
          <a:r>
            <a:rPr lang="de-DE" sz="2000" baseline="0">
              <a:solidFill>
                <a:schemeClr val="accent1">
                  <a:lumMod val="20000"/>
                  <a:lumOff val="80000"/>
                </a:schemeClr>
              </a:solidFill>
            </a:rPr>
            <a:t>3. Berechne x'*y' in der blauen Spalte und summiere die blaue Spalte (blau)</a:t>
          </a:r>
        </a:p>
        <a:p>
          <a:endParaRPr lang="de-DE" sz="2000" baseline="0">
            <a:solidFill>
              <a:schemeClr val="bg1"/>
            </a:solidFill>
          </a:endParaRPr>
        </a:p>
        <a:p>
          <a:r>
            <a:rPr lang="de-DE" sz="2000" baseline="0">
              <a:solidFill>
                <a:schemeClr val="bg1"/>
              </a:solidFill>
            </a:rPr>
            <a:t>Das Resultat Z ist dick umrandet!</a:t>
          </a:r>
        </a:p>
        <a:p>
          <a:endParaRPr lang="de-DE" sz="20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25</xdr:row>
      <xdr:rowOff>76200</xdr:rowOff>
    </xdr:from>
    <xdr:to>
      <xdr:col>6</xdr:col>
      <xdr:colOff>808487</xdr:colOff>
      <xdr:row>37</xdr:row>
      <xdr:rowOff>125562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E279AC6-42A0-054A-941D-8E64F94E4A8A}"/>
            </a:ext>
          </a:extLst>
        </xdr:cNvPr>
        <xdr:cNvSpPr txBox="1"/>
      </xdr:nvSpPr>
      <xdr:spPr>
        <a:xfrm>
          <a:off x="393700" y="5207000"/>
          <a:ext cx="6891787" cy="248776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000">
              <a:solidFill>
                <a:schemeClr val="accent5">
                  <a:lumMod val="20000"/>
                  <a:lumOff val="80000"/>
                </a:schemeClr>
              </a:solidFill>
            </a:rPr>
            <a:t>1. Berechne den Schnitt von x und y (violett)</a:t>
          </a:r>
        </a:p>
        <a:p>
          <a:r>
            <a:rPr lang="de-DE" sz="2000">
              <a:solidFill>
                <a:schemeClr val="accent6">
                  <a:lumMod val="20000"/>
                  <a:lumOff val="80000"/>
                </a:schemeClr>
              </a:solidFill>
            </a:rPr>
            <a:t>2. Berechne </a:t>
          </a:r>
          <a:r>
            <a:rPr lang="de-DE" sz="2000" baseline="0">
              <a:solidFill>
                <a:schemeClr val="accent6">
                  <a:lumMod val="20000"/>
                  <a:lumOff val="80000"/>
                </a:schemeClr>
              </a:solidFill>
            </a:rPr>
            <a:t> x' und y' (also die Abweichung von Mittelwert, grün)</a:t>
          </a:r>
        </a:p>
        <a:p>
          <a:r>
            <a:rPr lang="de-DE" sz="1600" baseline="0">
              <a:solidFill>
                <a:srgbClr val="FF0000"/>
              </a:solidFill>
            </a:rPr>
            <a:t>(Achtung: Zellbezug auf violette Zelle fixieren mit $!)</a:t>
          </a:r>
        </a:p>
        <a:p>
          <a:r>
            <a:rPr lang="de-DE" sz="2000" baseline="0">
              <a:solidFill>
                <a:schemeClr val="accent1">
                  <a:lumMod val="20000"/>
                  <a:lumOff val="80000"/>
                </a:schemeClr>
              </a:solidFill>
            </a:rPr>
            <a:t>3. Berechne x'*y' in der blauen Spalte und summiere die blaue Spalte (blau)</a:t>
          </a:r>
        </a:p>
        <a:p>
          <a:endParaRPr lang="de-DE" sz="2000" baseline="0">
            <a:solidFill>
              <a:schemeClr val="bg1"/>
            </a:solidFill>
          </a:endParaRPr>
        </a:p>
        <a:p>
          <a:r>
            <a:rPr lang="de-DE" sz="2000" baseline="0">
              <a:solidFill>
                <a:schemeClr val="bg1"/>
              </a:solidFill>
            </a:rPr>
            <a:t>Das Resultat Z ist dick umrandet!</a:t>
          </a:r>
        </a:p>
        <a:p>
          <a:endParaRPr lang="de-DE" sz="20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88900</xdr:colOff>
      <xdr:row>25</xdr:row>
      <xdr:rowOff>88900</xdr:rowOff>
    </xdr:from>
    <xdr:to>
      <xdr:col>12</xdr:col>
      <xdr:colOff>596900</xdr:colOff>
      <xdr:row>40</xdr:row>
      <xdr:rowOff>139700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A70FA3E-2C65-4749-BA29-82E3DAB5C6BA}"/>
            </a:ext>
          </a:extLst>
        </xdr:cNvPr>
        <xdr:cNvSpPr txBox="1"/>
      </xdr:nvSpPr>
      <xdr:spPr>
        <a:xfrm>
          <a:off x="7391400" y="5219700"/>
          <a:ext cx="4635500" cy="30988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800" baseline="0">
              <a:solidFill>
                <a:schemeClr val="bg1"/>
              </a:solidFill>
            </a:rPr>
            <a:t>4. Vergleichen Sie Ihre Resultate mit denjenigen einer anderen Gruppe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800" baseline="0">
            <a:solidFill>
              <a:schemeClr val="bg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800" baseline="0">
              <a:solidFill>
                <a:schemeClr val="bg1"/>
              </a:solidFill>
            </a:rPr>
            <a:t>5. Was schliessen Sie aus den Zahlen Z für Aufgabe 1 und Aufgabe 2?</a:t>
          </a:r>
        </a:p>
        <a:p>
          <a:endParaRPr lang="de-DE" sz="1800">
            <a:solidFill>
              <a:schemeClr val="bg1"/>
            </a:solidFill>
          </a:endParaRPr>
        </a:p>
        <a:p>
          <a:r>
            <a:rPr lang="de-DE" sz="1800" i="1">
              <a:solidFill>
                <a:schemeClr val="bg1"/>
              </a:solidFill>
            </a:rPr>
            <a:t>      [Ihre</a:t>
          </a:r>
          <a:r>
            <a:rPr lang="de-DE" sz="1800" i="1" baseline="0">
              <a:solidFill>
                <a:schemeClr val="bg1"/>
              </a:solidFill>
            </a:rPr>
            <a:t> Antwort hier....]</a:t>
          </a:r>
        </a:p>
        <a:p>
          <a:endParaRPr lang="de-DE" sz="1800" i="1" baseline="0">
            <a:solidFill>
              <a:schemeClr val="bg1"/>
            </a:solidFill>
          </a:endParaRPr>
        </a:p>
        <a:p>
          <a:r>
            <a:rPr lang="de-DE" sz="1800" i="0" baseline="0">
              <a:solidFill>
                <a:schemeClr val="bg1"/>
              </a:solidFill>
            </a:rPr>
            <a:t>6. Für Schnelle: Challenge-Aufgabe auf nächstem Blatt</a:t>
          </a:r>
        </a:p>
        <a:p>
          <a:endParaRPr lang="de-DE" sz="18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24</xdr:row>
      <xdr:rowOff>12700</xdr:rowOff>
    </xdr:from>
    <xdr:to>
      <xdr:col>7</xdr:col>
      <xdr:colOff>122687</xdr:colOff>
      <xdr:row>36</xdr:row>
      <xdr:rowOff>62062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BB3CB80-DB86-474E-9ED6-32D31F0BCBDE}"/>
            </a:ext>
          </a:extLst>
        </xdr:cNvPr>
        <xdr:cNvSpPr txBox="1"/>
      </xdr:nvSpPr>
      <xdr:spPr>
        <a:xfrm>
          <a:off x="533400" y="4940300"/>
          <a:ext cx="6891787" cy="248776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000">
              <a:solidFill>
                <a:schemeClr val="accent5">
                  <a:lumMod val="20000"/>
                  <a:lumOff val="80000"/>
                </a:schemeClr>
              </a:solidFill>
            </a:rPr>
            <a:t>1. Berechne den Schnitt von x und y (violett)</a:t>
          </a:r>
        </a:p>
        <a:p>
          <a:r>
            <a:rPr lang="de-DE" sz="2000">
              <a:solidFill>
                <a:schemeClr val="accent6">
                  <a:lumMod val="20000"/>
                  <a:lumOff val="80000"/>
                </a:schemeClr>
              </a:solidFill>
            </a:rPr>
            <a:t>2. Berechne </a:t>
          </a:r>
          <a:r>
            <a:rPr lang="de-DE" sz="2000" baseline="0">
              <a:solidFill>
                <a:schemeClr val="accent6">
                  <a:lumMod val="20000"/>
                  <a:lumOff val="80000"/>
                </a:schemeClr>
              </a:solidFill>
            </a:rPr>
            <a:t> x' und y' (also die Abweichung von Mittelwert, grün)</a:t>
          </a:r>
        </a:p>
        <a:p>
          <a:r>
            <a:rPr lang="de-DE" sz="1600" baseline="0">
              <a:solidFill>
                <a:srgbClr val="FF0000"/>
              </a:solidFill>
            </a:rPr>
            <a:t>(Achtung: Zellbezug auf violette Zelle fixieren mit $!)</a:t>
          </a:r>
        </a:p>
        <a:p>
          <a:r>
            <a:rPr lang="de-DE" sz="2000" baseline="0">
              <a:solidFill>
                <a:schemeClr val="accent1">
                  <a:lumMod val="20000"/>
                  <a:lumOff val="80000"/>
                </a:schemeClr>
              </a:solidFill>
            </a:rPr>
            <a:t>3. Berechne x'*y' in der blauen Spalte und summiere die blaue Spalte (blau)</a:t>
          </a:r>
        </a:p>
        <a:p>
          <a:endParaRPr lang="de-DE" sz="2000" baseline="0">
            <a:solidFill>
              <a:schemeClr val="bg1"/>
            </a:solidFill>
          </a:endParaRPr>
        </a:p>
        <a:p>
          <a:r>
            <a:rPr lang="de-DE" sz="2000" baseline="0">
              <a:solidFill>
                <a:schemeClr val="bg1"/>
              </a:solidFill>
            </a:rPr>
            <a:t>Das Resultat Z ist dick umrandet!</a:t>
          </a:r>
        </a:p>
        <a:p>
          <a:endParaRPr lang="de-DE" sz="20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25</xdr:row>
      <xdr:rowOff>76200</xdr:rowOff>
    </xdr:from>
    <xdr:to>
      <xdr:col>6</xdr:col>
      <xdr:colOff>808487</xdr:colOff>
      <xdr:row>37</xdr:row>
      <xdr:rowOff>125562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688CD75-35E8-5849-9E66-DA1D50C28D10}"/>
            </a:ext>
          </a:extLst>
        </xdr:cNvPr>
        <xdr:cNvSpPr txBox="1"/>
      </xdr:nvSpPr>
      <xdr:spPr>
        <a:xfrm>
          <a:off x="393700" y="5207000"/>
          <a:ext cx="6891787" cy="248776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000">
              <a:solidFill>
                <a:schemeClr val="accent5">
                  <a:lumMod val="20000"/>
                  <a:lumOff val="80000"/>
                </a:schemeClr>
              </a:solidFill>
            </a:rPr>
            <a:t>1. Berechne den Schnitt von x und y (violett)</a:t>
          </a:r>
        </a:p>
        <a:p>
          <a:r>
            <a:rPr lang="de-DE" sz="2000">
              <a:solidFill>
                <a:schemeClr val="accent6">
                  <a:lumMod val="20000"/>
                  <a:lumOff val="80000"/>
                </a:schemeClr>
              </a:solidFill>
            </a:rPr>
            <a:t>2. Berechne </a:t>
          </a:r>
          <a:r>
            <a:rPr lang="de-DE" sz="2000" baseline="0">
              <a:solidFill>
                <a:schemeClr val="accent6">
                  <a:lumMod val="20000"/>
                  <a:lumOff val="80000"/>
                </a:schemeClr>
              </a:solidFill>
            </a:rPr>
            <a:t> x' und y' (also die Abweichung von Mittelwert, grün)</a:t>
          </a:r>
        </a:p>
        <a:p>
          <a:r>
            <a:rPr lang="de-DE" sz="1600" baseline="0">
              <a:solidFill>
                <a:srgbClr val="FF0000"/>
              </a:solidFill>
            </a:rPr>
            <a:t>(Achtung: Zellbezug auf violette Zelle fixieren mit $!)</a:t>
          </a:r>
        </a:p>
        <a:p>
          <a:r>
            <a:rPr lang="de-DE" sz="2000" baseline="0">
              <a:solidFill>
                <a:schemeClr val="accent1">
                  <a:lumMod val="20000"/>
                  <a:lumOff val="80000"/>
                </a:schemeClr>
              </a:solidFill>
            </a:rPr>
            <a:t>3. Berechne x'*y' in der blauen Spalte und summiere die blaue Spalte (blau)</a:t>
          </a:r>
        </a:p>
        <a:p>
          <a:endParaRPr lang="de-DE" sz="2000" baseline="0">
            <a:solidFill>
              <a:schemeClr val="bg1"/>
            </a:solidFill>
          </a:endParaRPr>
        </a:p>
        <a:p>
          <a:r>
            <a:rPr lang="de-DE" sz="2000" baseline="0">
              <a:solidFill>
                <a:schemeClr val="bg1"/>
              </a:solidFill>
            </a:rPr>
            <a:t>Das Resultat Z ist dick umrandet!</a:t>
          </a:r>
        </a:p>
        <a:p>
          <a:endParaRPr lang="de-DE" sz="20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88900</xdr:colOff>
      <xdr:row>25</xdr:row>
      <xdr:rowOff>88900</xdr:rowOff>
    </xdr:from>
    <xdr:to>
      <xdr:col>12</xdr:col>
      <xdr:colOff>596900</xdr:colOff>
      <xdr:row>40</xdr:row>
      <xdr:rowOff>139700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D6A250B2-788B-164E-A141-F4E36476CE6B}"/>
            </a:ext>
          </a:extLst>
        </xdr:cNvPr>
        <xdr:cNvSpPr txBox="1"/>
      </xdr:nvSpPr>
      <xdr:spPr>
        <a:xfrm>
          <a:off x="7391400" y="5219700"/>
          <a:ext cx="4635500" cy="30988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800" baseline="0">
              <a:solidFill>
                <a:schemeClr val="bg1"/>
              </a:solidFill>
            </a:rPr>
            <a:t>4. Vergleichen Sie Ihre Resultate mit denjenigen einer anderen Gruppe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800" baseline="0">
            <a:solidFill>
              <a:schemeClr val="bg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800" baseline="0">
              <a:solidFill>
                <a:schemeClr val="bg1"/>
              </a:solidFill>
            </a:rPr>
            <a:t>5. Was schliessen Sie aus den Zahlen Z für Aufgabe 1 und Aufgabe 2?</a:t>
          </a:r>
        </a:p>
        <a:p>
          <a:endParaRPr lang="de-DE" sz="1800">
            <a:solidFill>
              <a:schemeClr val="bg1"/>
            </a:solidFill>
          </a:endParaRPr>
        </a:p>
        <a:p>
          <a:r>
            <a:rPr lang="de-DE" sz="1800" i="1">
              <a:solidFill>
                <a:schemeClr val="bg1"/>
              </a:solidFill>
            </a:rPr>
            <a:t>      [Ihre</a:t>
          </a:r>
          <a:r>
            <a:rPr lang="de-DE" sz="1800" i="1" baseline="0">
              <a:solidFill>
                <a:schemeClr val="bg1"/>
              </a:solidFill>
            </a:rPr>
            <a:t> Antwort hier....]</a:t>
          </a:r>
        </a:p>
        <a:p>
          <a:endParaRPr lang="de-DE" sz="1800" i="1" baseline="0">
            <a:solidFill>
              <a:schemeClr val="bg1"/>
            </a:solidFill>
          </a:endParaRPr>
        </a:p>
        <a:p>
          <a:r>
            <a:rPr lang="de-DE" sz="1800" i="0" baseline="0">
              <a:solidFill>
                <a:schemeClr val="bg1"/>
              </a:solidFill>
            </a:rPr>
            <a:t>6. Für Schnelle: Challenge-Aufgabe auf nächstem Blatt</a:t>
          </a:r>
        </a:p>
        <a:p>
          <a:endParaRPr lang="de-DE" sz="1800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622300</xdr:colOff>
      <xdr:row>1</xdr:row>
      <xdr:rowOff>88900</xdr:rowOff>
    </xdr:from>
    <xdr:to>
      <xdr:col>8</xdr:col>
      <xdr:colOff>698500</xdr:colOff>
      <xdr:row>10</xdr:row>
      <xdr:rowOff>165100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F62B520-A5BF-3542-8CD2-16072ABE6FFE}"/>
            </a:ext>
          </a:extLst>
        </xdr:cNvPr>
        <xdr:cNvSpPr txBox="1"/>
      </xdr:nvSpPr>
      <xdr:spPr>
        <a:xfrm>
          <a:off x="622300" y="292100"/>
          <a:ext cx="6680200" cy="19050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800" b="1" u="sng" baseline="0">
              <a:solidFill>
                <a:schemeClr val="bg1"/>
              </a:solidFill>
            </a:rPr>
            <a:t>Challenge-Frage:</a:t>
          </a:r>
        </a:p>
        <a:p>
          <a:r>
            <a:rPr lang="de-DE" sz="1800" baseline="0">
              <a:solidFill>
                <a:schemeClr val="bg1"/>
              </a:solidFill>
            </a:rPr>
            <a:t>Versuchen Sie, in einem der vorigen Beispiele den Korrelationskoeffizienten r zu berechnen. Der Korrelationskoeffizient r hat immer einen Wert zwischen -1 und +1 . Somit werden die Korrelationskoeffizienten untereinander vergleichbar. Verwenden Sie folgende Formel:</a:t>
          </a:r>
          <a:endParaRPr lang="de-DE" sz="1800">
            <a:solidFill>
              <a:schemeClr val="bg1"/>
            </a:solidFill>
          </a:endParaRPr>
        </a:p>
        <a:p>
          <a:endParaRPr lang="de-DE" sz="1800"/>
        </a:p>
      </xdr:txBody>
    </xdr:sp>
    <xdr:clientData/>
  </xdr:twoCellAnchor>
  <xdr:twoCellAnchor editAs="oneCell">
    <xdr:from>
      <xdr:col>1</xdr:col>
      <xdr:colOff>152400</xdr:colOff>
      <xdr:row>10</xdr:row>
      <xdr:rowOff>165100</xdr:rowOff>
    </xdr:from>
    <xdr:to>
      <xdr:col>8</xdr:col>
      <xdr:colOff>88900</xdr:colOff>
      <xdr:row>15</xdr:row>
      <xdr:rowOff>50800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4CD2C38-FF73-E549-98FB-2C900EC8B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0" y="2197100"/>
          <a:ext cx="5715000" cy="901700"/>
        </a:xfrm>
        <a:prstGeom prst="rect">
          <a:avLst/>
        </a:prstGeom>
      </xdr:spPr>
    </xdr:pic>
    <xdr:clientData/>
  </xdr:twoCellAnchor>
  <xdr:twoCellAnchor>
    <xdr:from>
      <xdr:col>0</xdr:col>
      <xdr:colOff>596900</xdr:colOff>
      <xdr:row>15</xdr:row>
      <xdr:rowOff>101600</xdr:rowOff>
    </xdr:from>
    <xdr:to>
      <xdr:col>8</xdr:col>
      <xdr:colOff>673100</xdr:colOff>
      <xdr:row>20</xdr:row>
      <xdr:rowOff>101600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33ABB12E-9FC3-7844-AAA7-916745D4B7CE}"/>
            </a:ext>
          </a:extLst>
        </xdr:cNvPr>
        <xdr:cNvSpPr txBox="1"/>
      </xdr:nvSpPr>
      <xdr:spPr>
        <a:xfrm>
          <a:off x="596900" y="3149600"/>
          <a:ext cx="6680200" cy="10160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800">
              <a:solidFill>
                <a:schemeClr val="bg1"/>
              </a:solidFill>
            </a:rPr>
            <a:t>x₁', x₂' usw.</a:t>
          </a:r>
          <a:r>
            <a:rPr lang="de-DE" sz="1800" baseline="0">
              <a:solidFill>
                <a:schemeClr val="bg1"/>
              </a:solidFill>
            </a:rPr>
            <a:t> sind die Abweichungen vom Mittelwert, welche Sie vorher berechnet haben (grüne Zellen).</a:t>
          </a:r>
          <a:endParaRPr lang="de-DE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DE91-2E29-0E42-9675-ED805AAA50D1}">
  <sheetPr>
    <tabColor theme="1"/>
  </sheetPr>
  <dimension ref="A1:F24"/>
  <sheetViews>
    <sheetView tabSelected="1" zoomScale="134" workbookViewId="0">
      <selection activeCell="F24" sqref="F24"/>
    </sheetView>
  </sheetViews>
  <sheetFormatPr baseColWidth="10" defaultRowHeight="16" x14ac:dyDescent="0.2"/>
  <cols>
    <col min="1" max="1" width="12.6640625" bestFit="1" customWidth="1"/>
    <col min="2" max="2" width="21" bestFit="1" customWidth="1"/>
    <col min="3" max="3" width="18.83203125" bestFit="1" customWidth="1"/>
  </cols>
  <sheetData>
    <row r="1" spans="2:6" ht="17" thickBot="1" x14ac:dyDescent="0.25">
      <c r="B1" s="1"/>
      <c r="C1" s="1"/>
    </row>
    <row r="2" spans="2:6" x14ac:dyDescent="0.2">
      <c r="B2" s="2" t="s">
        <v>17</v>
      </c>
      <c r="C2" s="3" t="s">
        <v>18</v>
      </c>
      <c r="D2" s="4" t="s">
        <v>2</v>
      </c>
      <c r="E2" s="4" t="s">
        <v>3</v>
      </c>
      <c r="F2" s="5" t="s">
        <v>4</v>
      </c>
    </row>
    <row r="3" spans="2:6" x14ac:dyDescent="0.2">
      <c r="B3" s="6">
        <v>5</v>
      </c>
      <c r="C3" s="7">
        <v>5.9154021177020697</v>
      </c>
      <c r="D3" s="8">
        <f>B3-B$23</f>
        <v>0.40000000000000036</v>
      </c>
      <c r="E3" s="8">
        <f t="shared" ref="E3:E22" si="0">C3-C$23</f>
        <v>1.4655269266047846</v>
      </c>
      <c r="F3" s="9">
        <f>D3*E3</f>
        <v>0.58621077064191429</v>
      </c>
    </row>
    <row r="4" spans="2:6" x14ac:dyDescent="0.2">
      <c r="B4" s="6">
        <v>4</v>
      </c>
      <c r="C4" s="7">
        <v>4.32875110965968</v>
      </c>
      <c r="D4" s="8">
        <f t="shared" ref="D4:D22" si="1">B4-B$23</f>
        <v>-0.59999999999999964</v>
      </c>
      <c r="E4" s="8">
        <f t="shared" si="0"/>
        <v>-0.12112408143760511</v>
      </c>
      <c r="F4" s="9">
        <f t="shared" ref="F4:F22" si="2">D4*E4</f>
        <v>7.2674448862563024E-2</v>
      </c>
    </row>
    <row r="5" spans="2:6" x14ac:dyDescent="0.2">
      <c r="B5" s="6">
        <v>4</v>
      </c>
      <c r="C5" s="7">
        <v>3.4702397962329599</v>
      </c>
      <c r="D5" s="8">
        <f t="shared" si="1"/>
        <v>-0.59999999999999964</v>
      </c>
      <c r="E5" s="8">
        <f t="shared" si="0"/>
        <v>-0.97963539486432527</v>
      </c>
      <c r="F5" s="9">
        <f t="shared" si="2"/>
        <v>0.58778123691859485</v>
      </c>
    </row>
    <row r="6" spans="2:6" x14ac:dyDescent="0.2">
      <c r="B6" s="6">
        <v>5</v>
      </c>
      <c r="C6" s="7">
        <v>5.5132674331133504</v>
      </c>
      <c r="D6" s="8">
        <f t="shared" si="1"/>
        <v>0.40000000000000036</v>
      </c>
      <c r="E6" s="8">
        <f t="shared" si="0"/>
        <v>1.0633922420160653</v>
      </c>
      <c r="F6" s="9">
        <f t="shared" si="2"/>
        <v>0.42535689680642652</v>
      </c>
    </row>
    <row r="7" spans="2:6" x14ac:dyDescent="0.2">
      <c r="B7" s="6">
        <v>5</v>
      </c>
      <c r="C7" s="7">
        <v>5.0970775493480396</v>
      </c>
      <c r="D7" s="8">
        <f t="shared" si="1"/>
        <v>0.40000000000000036</v>
      </c>
      <c r="E7" s="8">
        <f t="shared" si="0"/>
        <v>0.64720235825075445</v>
      </c>
      <c r="F7" s="9">
        <f t="shared" si="2"/>
        <v>0.25888094330030204</v>
      </c>
    </row>
    <row r="8" spans="2:6" x14ac:dyDescent="0.2">
      <c r="B8" s="6">
        <v>3</v>
      </c>
      <c r="C8" s="7">
        <v>3.96864499053288</v>
      </c>
      <c r="D8" s="8">
        <f t="shared" si="1"/>
        <v>-1.5999999999999996</v>
      </c>
      <c r="E8" s="8">
        <f t="shared" si="0"/>
        <v>-0.48123020056440513</v>
      </c>
      <c r="F8" s="9">
        <f t="shared" si="2"/>
        <v>0.76996832090304801</v>
      </c>
    </row>
    <row r="9" spans="2:6" x14ac:dyDescent="0.2">
      <c r="B9" s="6">
        <v>5</v>
      </c>
      <c r="C9" s="7">
        <v>4.2979469061226396</v>
      </c>
      <c r="D9" s="8">
        <f t="shared" si="1"/>
        <v>0.40000000000000036</v>
      </c>
      <c r="E9" s="8">
        <f t="shared" si="0"/>
        <v>-0.1519282849746455</v>
      </c>
      <c r="F9" s="9">
        <f t="shared" si="2"/>
        <v>-6.0771313989858251E-2</v>
      </c>
    </row>
    <row r="10" spans="2:6" x14ac:dyDescent="0.2">
      <c r="B10" s="6">
        <v>4</v>
      </c>
      <c r="C10" s="7">
        <v>3.67233785340223</v>
      </c>
      <c r="D10" s="8">
        <f t="shared" si="1"/>
        <v>-0.59999999999999964</v>
      </c>
      <c r="E10" s="8">
        <f t="shared" si="0"/>
        <v>-0.77753733769505518</v>
      </c>
      <c r="F10" s="9">
        <f t="shared" si="2"/>
        <v>0.46652240261703282</v>
      </c>
    </row>
    <row r="11" spans="2:6" x14ac:dyDescent="0.2">
      <c r="B11" s="6">
        <v>6</v>
      </c>
      <c r="C11" s="7">
        <v>5.6078918468678403</v>
      </c>
      <c r="D11" s="8">
        <f t="shared" si="1"/>
        <v>1.4000000000000004</v>
      </c>
      <c r="E11" s="8">
        <f t="shared" si="0"/>
        <v>1.1580166557705551</v>
      </c>
      <c r="F11" s="9">
        <f t="shared" si="2"/>
        <v>1.6212233180787776</v>
      </c>
    </row>
    <row r="12" spans="2:6" x14ac:dyDescent="0.2">
      <c r="B12" s="6">
        <v>7</v>
      </c>
      <c r="C12" s="7">
        <v>5.5364850518678796</v>
      </c>
      <c r="D12" s="8">
        <f t="shared" si="1"/>
        <v>2.4000000000000004</v>
      </c>
      <c r="E12" s="8">
        <f t="shared" si="0"/>
        <v>1.0866098607705945</v>
      </c>
      <c r="F12" s="9">
        <f t="shared" si="2"/>
        <v>2.6078636658494272</v>
      </c>
    </row>
    <row r="13" spans="2:6" x14ac:dyDescent="0.2">
      <c r="B13" s="6">
        <v>2</v>
      </c>
      <c r="C13" s="7">
        <v>2.2961202770645701</v>
      </c>
      <c r="D13" s="8">
        <f t="shared" si="1"/>
        <v>-2.5999999999999996</v>
      </c>
      <c r="E13" s="8">
        <f t="shared" si="0"/>
        <v>-2.153754914032715</v>
      </c>
      <c r="F13" s="9">
        <f t="shared" si="2"/>
        <v>5.5997627764850586</v>
      </c>
    </row>
    <row r="14" spans="2:6" x14ac:dyDescent="0.2">
      <c r="B14" s="6">
        <v>5</v>
      </c>
      <c r="C14" s="7">
        <v>5.2610552721798802</v>
      </c>
      <c r="D14" s="8">
        <f t="shared" si="1"/>
        <v>0.40000000000000036</v>
      </c>
      <c r="E14" s="8">
        <f t="shared" si="0"/>
        <v>0.81118008108259509</v>
      </c>
      <c r="F14" s="9">
        <f t="shared" si="2"/>
        <v>0.32447203243303835</v>
      </c>
    </row>
    <row r="15" spans="2:6" x14ac:dyDescent="0.2">
      <c r="B15" s="6">
        <v>5</v>
      </c>
      <c r="C15" s="7">
        <v>5.0051134566424604</v>
      </c>
      <c r="D15" s="8">
        <f t="shared" si="1"/>
        <v>0.40000000000000036</v>
      </c>
      <c r="E15" s="8">
        <f t="shared" si="0"/>
        <v>0.5552382655451753</v>
      </c>
      <c r="F15" s="9">
        <f t="shared" si="2"/>
        <v>0.22209530621807033</v>
      </c>
    </row>
    <row r="16" spans="2:6" x14ac:dyDescent="0.2">
      <c r="B16" s="6">
        <v>6</v>
      </c>
      <c r="C16" s="7">
        <v>5.7654128666248496</v>
      </c>
      <c r="D16" s="8">
        <f t="shared" si="1"/>
        <v>1.4000000000000004</v>
      </c>
      <c r="E16" s="8">
        <f t="shared" si="0"/>
        <v>1.3155376755275645</v>
      </c>
      <c r="F16" s="9">
        <f t="shared" si="2"/>
        <v>1.8417527457385907</v>
      </c>
    </row>
    <row r="17" spans="1:6" x14ac:dyDescent="0.2">
      <c r="B17" s="6">
        <v>4</v>
      </c>
      <c r="C17" s="7">
        <v>2.58462925794958</v>
      </c>
      <c r="D17" s="8">
        <f t="shared" si="1"/>
        <v>-0.59999999999999964</v>
      </c>
      <c r="E17" s="8">
        <f t="shared" si="0"/>
        <v>-1.8652459331477051</v>
      </c>
      <c r="F17" s="9">
        <f t="shared" si="2"/>
        <v>1.1191475598886225</v>
      </c>
    </row>
    <row r="18" spans="1:6" x14ac:dyDescent="0.2">
      <c r="B18" s="6">
        <v>6</v>
      </c>
      <c r="C18" s="7">
        <v>5.5793546772346403</v>
      </c>
      <c r="D18" s="8">
        <f t="shared" si="1"/>
        <v>1.4000000000000004</v>
      </c>
      <c r="E18" s="8">
        <f t="shared" si="0"/>
        <v>1.1294794861373552</v>
      </c>
      <c r="F18" s="9">
        <f t="shared" si="2"/>
        <v>1.5812712805922977</v>
      </c>
    </row>
    <row r="19" spans="1:6" x14ac:dyDescent="0.2">
      <c r="B19" s="6">
        <v>6</v>
      </c>
      <c r="C19" s="7">
        <v>5.6572854834732302</v>
      </c>
      <c r="D19" s="8">
        <f t="shared" si="1"/>
        <v>1.4000000000000004</v>
      </c>
      <c r="E19" s="8">
        <f t="shared" si="0"/>
        <v>1.2074102923759451</v>
      </c>
      <c r="F19" s="9">
        <f t="shared" si="2"/>
        <v>1.6903744093263235</v>
      </c>
    </row>
    <row r="20" spans="1:6" x14ac:dyDescent="0.2">
      <c r="B20" s="6">
        <v>1</v>
      </c>
      <c r="C20" s="7">
        <v>0.19772273077838101</v>
      </c>
      <c r="D20" s="8">
        <f t="shared" si="1"/>
        <v>-3.5999999999999996</v>
      </c>
      <c r="E20" s="8">
        <f t="shared" si="0"/>
        <v>-4.2521524603189045</v>
      </c>
      <c r="F20" s="9">
        <f t="shared" si="2"/>
        <v>15.307748857148054</v>
      </c>
    </row>
    <row r="21" spans="1:6" x14ac:dyDescent="0.2">
      <c r="B21" s="6">
        <v>7</v>
      </c>
      <c r="C21" s="7">
        <v>6.83871428833399</v>
      </c>
      <c r="D21" s="8">
        <f t="shared" si="1"/>
        <v>2.4000000000000004</v>
      </c>
      <c r="E21" s="8">
        <f t="shared" si="0"/>
        <v>2.3888390972367048</v>
      </c>
      <c r="F21" s="9">
        <f t="shared" si="2"/>
        <v>5.7332138333680929</v>
      </c>
    </row>
    <row r="22" spans="1:6" ht="17" thickBot="1" x14ac:dyDescent="0.25">
      <c r="B22" s="10">
        <v>2</v>
      </c>
      <c r="C22" s="11">
        <v>2.4040508568145298</v>
      </c>
      <c r="D22" s="8">
        <f t="shared" si="1"/>
        <v>-2.5999999999999996</v>
      </c>
      <c r="E22" s="8">
        <f t="shared" si="0"/>
        <v>-2.0458243342827553</v>
      </c>
      <c r="F22" s="9">
        <f t="shared" si="2"/>
        <v>5.3191432691351634</v>
      </c>
    </row>
    <row r="23" spans="1:6" ht="17" thickBot="1" x14ac:dyDescent="0.25">
      <c r="A23" s="12" t="s">
        <v>5</v>
      </c>
      <c r="B23" s="12">
        <f>AVERAGE(B3:B22)</f>
        <v>4.5999999999999996</v>
      </c>
      <c r="C23" s="13">
        <f>AVERAGE(C3:C22)</f>
        <v>4.4498751910972851</v>
      </c>
      <c r="D23" s="14"/>
      <c r="E23" s="14"/>
      <c r="F23" s="14"/>
    </row>
    <row r="24" spans="1:6" ht="17" thickBot="1" x14ac:dyDescent="0.25">
      <c r="C24" s="14"/>
      <c r="D24" s="14"/>
      <c r="E24" s="15" t="s">
        <v>6</v>
      </c>
      <c r="F24" s="16">
        <f>SUM(F3:F22)</f>
        <v>46.074692760321533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134F-DE9C-8143-A1D6-F31E27B77FF5}">
  <sheetPr>
    <tabColor theme="7"/>
  </sheetPr>
  <dimension ref="A1:J24"/>
  <sheetViews>
    <sheetView workbookViewId="0">
      <selection activeCell="J22" sqref="J22"/>
    </sheetView>
  </sheetViews>
  <sheetFormatPr baseColWidth="10" defaultRowHeight="16" x14ac:dyDescent="0.2"/>
  <cols>
    <col min="1" max="1" width="12.6640625" bestFit="1" customWidth="1"/>
    <col min="2" max="2" width="21" bestFit="1" customWidth="1"/>
    <col min="3" max="3" width="18.83203125" bestFit="1" customWidth="1"/>
  </cols>
  <sheetData>
    <row r="1" spans="2:9" ht="17" thickBot="1" x14ac:dyDescent="0.25">
      <c r="B1" s="1" t="s">
        <v>0</v>
      </c>
      <c r="C1" s="1" t="s">
        <v>1</v>
      </c>
    </row>
    <row r="2" spans="2:9" x14ac:dyDescent="0.2">
      <c r="B2" s="2" t="s">
        <v>7</v>
      </c>
      <c r="C2" s="3" t="s">
        <v>8</v>
      </c>
      <c r="D2" s="4" t="s">
        <v>2</v>
      </c>
      <c r="E2" s="4" t="s">
        <v>3</v>
      </c>
      <c r="F2" s="5" t="s">
        <v>4</v>
      </c>
      <c r="H2" t="s">
        <v>12</v>
      </c>
      <c r="I2" t="s">
        <v>11</v>
      </c>
    </row>
    <row r="3" spans="2:9" x14ac:dyDescent="0.2">
      <c r="B3" s="6">
        <v>6</v>
      </c>
      <c r="C3" s="7">
        <v>0.28655179957563898</v>
      </c>
      <c r="D3" s="8">
        <f>B3-B$23</f>
        <v>-9.0500000000000007</v>
      </c>
      <c r="E3" s="8">
        <f t="shared" ref="E3:E22" si="0">C3-C$23</f>
        <v>-0.34125933625675037</v>
      </c>
      <c r="F3" s="9">
        <f>D3*E3</f>
        <v>3.0883969931235913</v>
      </c>
      <c r="H3" s="17">
        <f>D3^2</f>
        <v>81.902500000000018</v>
      </c>
      <c r="I3" s="17">
        <f t="shared" ref="I3:I22" si="1">E3^2</f>
        <v>0.11645793458239781</v>
      </c>
    </row>
    <row r="4" spans="2:9" x14ac:dyDescent="0.2">
      <c r="B4" s="6">
        <v>19</v>
      </c>
      <c r="C4" s="7">
        <v>0.88527693727880996</v>
      </c>
      <c r="D4" s="8">
        <f t="shared" ref="D4:D22" si="2">B4-B$23</f>
        <v>3.9499999999999993</v>
      </c>
      <c r="E4" s="8">
        <f t="shared" si="0"/>
        <v>0.25746580144642062</v>
      </c>
      <c r="F4" s="9">
        <f t="shared" ref="F4:F22" si="3">D4*E4</f>
        <v>1.0169899157133613</v>
      </c>
      <c r="H4" s="17">
        <f t="shared" ref="H4:H22" si="4">D4^2</f>
        <v>15.602499999999994</v>
      </c>
      <c r="I4" s="17">
        <f t="shared" si="1"/>
        <v>6.6288638914447681E-2</v>
      </c>
    </row>
    <row r="5" spans="2:9" x14ac:dyDescent="0.2">
      <c r="B5" s="6">
        <v>28</v>
      </c>
      <c r="C5" s="7">
        <v>0.95023212178251004</v>
      </c>
      <c r="D5" s="8">
        <f t="shared" si="2"/>
        <v>12.95</v>
      </c>
      <c r="E5" s="8">
        <f t="shared" si="0"/>
        <v>0.3224209859501207</v>
      </c>
      <c r="F5" s="9">
        <f t="shared" si="3"/>
        <v>4.1753517680540631</v>
      </c>
      <c r="H5" s="17">
        <f t="shared" si="4"/>
        <v>167.70249999999999</v>
      </c>
      <c r="I5" s="17">
        <f t="shared" si="1"/>
        <v>0.10395529218104793</v>
      </c>
    </row>
    <row r="6" spans="2:9" x14ac:dyDescent="0.2">
      <c r="B6" s="6">
        <v>14</v>
      </c>
      <c r="C6" s="7">
        <v>0.66668799344909901</v>
      </c>
      <c r="D6" s="8">
        <f t="shared" si="2"/>
        <v>-1.0500000000000007</v>
      </c>
      <c r="E6" s="8">
        <f t="shared" si="0"/>
        <v>3.887685761670967E-2</v>
      </c>
      <c r="F6" s="9">
        <f t="shared" si="3"/>
        <v>-4.082070049754518E-2</v>
      </c>
      <c r="H6" s="17">
        <f t="shared" si="4"/>
        <v>1.1025000000000016</v>
      </c>
      <c r="I6" s="17">
        <f t="shared" si="1"/>
        <v>1.5114100581499167E-3</v>
      </c>
    </row>
    <row r="7" spans="2:9" x14ac:dyDescent="0.2">
      <c r="B7" s="6">
        <v>10</v>
      </c>
      <c r="C7" s="7">
        <v>0.51209811357830104</v>
      </c>
      <c r="D7" s="8">
        <f t="shared" si="2"/>
        <v>-5.0500000000000007</v>
      </c>
      <c r="E7" s="8">
        <f t="shared" si="0"/>
        <v>-0.1157130222540883</v>
      </c>
      <c r="F7" s="9">
        <f t="shared" si="3"/>
        <v>0.58435076238314598</v>
      </c>
      <c r="H7" s="17">
        <f t="shared" si="4"/>
        <v>25.502500000000008</v>
      </c>
      <c r="I7" s="17">
        <f t="shared" si="1"/>
        <v>1.3389503519175136E-2</v>
      </c>
    </row>
    <row r="8" spans="2:9" x14ac:dyDescent="0.2">
      <c r="B8" s="6">
        <v>7</v>
      </c>
      <c r="C8" s="7">
        <v>0.25867968154131399</v>
      </c>
      <c r="D8" s="8">
        <f t="shared" si="2"/>
        <v>-8.0500000000000007</v>
      </c>
      <c r="E8" s="8">
        <f t="shared" si="0"/>
        <v>-0.36913145429107536</v>
      </c>
      <c r="F8" s="9">
        <f t="shared" si="3"/>
        <v>2.9715082070431569</v>
      </c>
      <c r="H8" s="17">
        <f t="shared" si="4"/>
        <v>64.802500000000009</v>
      </c>
      <c r="I8" s="17">
        <f t="shared" si="1"/>
        <v>0.13625803054704425</v>
      </c>
    </row>
    <row r="9" spans="2:9" x14ac:dyDescent="0.2">
      <c r="B9" s="6">
        <v>28</v>
      </c>
      <c r="C9" s="7">
        <v>0.88715711479748205</v>
      </c>
      <c r="D9" s="8">
        <f t="shared" si="2"/>
        <v>12.95</v>
      </c>
      <c r="E9" s="8">
        <f t="shared" si="0"/>
        <v>0.2593459789650927</v>
      </c>
      <c r="F9" s="9">
        <f t="shared" si="3"/>
        <v>3.3585304275979504</v>
      </c>
      <c r="H9" s="17">
        <f t="shared" si="4"/>
        <v>167.70249999999999</v>
      </c>
      <c r="I9" s="17">
        <f t="shared" si="1"/>
        <v>6.7260336805362309E-2</v>
      </c>
    </row>
    <row r="10" spans="2:9" x14ac:dyDescent="0.2">
      <c r="B10" s="6">
        <v>20</v>
      </c>
      <c r="C10" s="7">
        <v>0.85268270151583303</v>
      </c>
      <c r="D10" s="8">
        <f t="shared" si="2"/>
        <v>4.9499999999999993</v>
      </c>
      <c r="E10" s="8">
        <f t="shared" si="0"/>
        <v>0.22487156568344369</v>
      </c>
      <c r="F10" s="9">
        <f t="shared" si="3"/>
        <v>1.113114250133046</v>
      </c>
      <c r="H10" s="17">
        <f t="shared" si="4"/>
        <v>24.502499999999994</v>
      </c>
      <c r="I10" s="17">
        <f t="shared" si="1"/>
        <v>5.0567221052923328E-2</v>
      </c>
    </row>
    <row r="11" spans="2:9" x14ac:dyDescent="0.2">
      <c r="B11" s="6">
        <v>6</v>
      </c>
      <c r="C11" s="7">
        <v>0.25938396285566601</v>
      </c>
      <c r="D11" s="8">
        <f t="shared" si="2"/>
        <v>-9.0500000000000007</v>
      </c>
      <c r="E11" s="8">
        <f t="shared" si="0"/>
        <v>-0.36842717297672334</v>
      </c>
      <c r="F11" s="9">
        <f t="shared" si="3"/>
        <v>3.3342659154393464</v>
      </c>
      <c r="H11" s="17">
        <f t="shared" si="4"/>
        <v>81.902500000000018</v>
      </c>
      <c r="I11" s="17">
        <f t="shared" si="1"/>
        <v>0.13573858178762041</v>
      </c>
    </row>
    <row r="12" spans="2:9" x14ac:dyDescent="0.2">
      <c r="B12" s="6">
        <v>25</v>
      </c>
      <c r="C12" s="7">
        <v>0.96828649345219697</v>
      </c>
      <c r="D12" s="8">
        <f t="shared" si="2"/>
        <v>9.9499999999999993</v>
      </c>
      <c r="E12" s="8">
        <f t="shared" si="0"/>
        <v>0.34047535761980763</v>
      </c>
      <c r="F12" s="9">
        <f t="shared" si="3"/>
        <v>3.3877298083170855</v>
      </c>
      <c r="H12" s="17">
        <f t="shared" si="4"/>
        <v>99.002499999999984</v>
      </c>
      <c r="I12" s="17">
        <f t="shared" si="1"/>
        <v>0.1159234691463359</v>
      </c>
    </row>
    <row r="13" spans="2:9" x14ac:dyDescent="0.2">
      <c r="B13" s="6">
        <v>18</v>
      </c>
      <c r="C13" s="7">
        <v>0.78661718135786296</v>
      </c>
      <c r="D13" s="8">
        <f t="shared" si="2"/>
        <v>2.9499999999999993</v>
      </c>
      <c r="E13" s="8">
        <f t="shared" si="0"/>
        <v>0.15880604552547362</v>
      </c>
      <c r="F13" s="9">
        <f t="shared" si="3"/>
        <v>0.46847783430014706</v>
      </c>
      <c r="H13" s="17">
        <f t="shared" si="4"/>
        <v>8.7024999999999952</v>
      </c>
      <c r="I13" s="17">
        <f t="shared" si="1"/>
        <v>2.5219360095438799E-2</v>
      </c>
    </row>
    <row r="14" spans="2:9" x14ac:dyDescent="0.2">
      <c r="B14" s="6">
        <v>22</v>
      </c>
      <c r="C14" s="7">
        <v>0.84621211843931299</v>
      </c>
      <c r="D14" s="8">
        <f t="shared" si="2"/>
        <v>6.9499999999999993</v>
      </c>
      <c r="E14" s="8">
        <f t="shared" si="0"/>
        <v>0.21840098260692364</v>
      </c>
      <c r="F14" s="9">
        <f t="shared" si="3"/>
        <v>1.5178868291181191</v>
      </c>
      <c r="H14" s="17">
        <f t="shared" si="4"/>
        <v>48.302499999999988</v>
      </c>
      <c r="I14" s="17">
        <f t="shared" si="1"/>
        <v>4.7698989203669766E-2</v>
      </c>
    </row>
    <row r="15" spans="2:9" x14ac:dyDescent="0.2">
      <c r="B15" s="6">
        <v>10</v>
      </c>
      <c r="C15" s="7">
        <v>0.57328243844607696</v>
      </c>
      <c r="D15" s="8">
        <f t="shared" si="2"/>
        <v>-5.0500000000000007</v>
      </c>
      <c r="E15" s="8">
        <f t="shared" si="0"/>
        <v>-5.4528697386312386E-2</v>
      </c>
      <c r="F15" s="9">
        <f t="shared" si="3"/>
        <v>0.2753699218008776</v>
      </c>
      <c r="H15" s="17">
        <f t="shared" si="4"/>
        <v>25.502500000000008</v>
      </c>
      <c r="I15" s="17">
        <f t="shared" si="1"/>
        <v>2.9733788386480313E-3</v>
      </c>
    </row>
    <row r="16" spans="2:9" x14ac:dyDescent="0.2">
      <c r="B16" s="6">
        <v>10</v>
      </c>
      <c r="C16" s="7">
        <v>0.48871118497567301</v>
      </c>
      <c r="D16" s="8">
        <f t="shared" si="2"/>
        <v>-5.0500000000000007</v>
      </c>
      <c r="E16" s="8">
        <f t="shared" si="0"/>
        <v>-0.13909995085671634</v>
      </c>
      <c r="F16" s="9">
        <f t="shared" si="3"/>
        <v>0.70245475182641759</v>
      </c>
      <c r="H16" s="17">
        <f t="shared" si="4"/>
        <v>25.502500000000008</v>
      </c>
      <c r="I16" s="17">
        <f t="shared" si="1"/>
        <v>1.9348796328340901E-2</v>
      </c>
    </row>
    <row r="17" spans="1:10" x14ac:dyDescent="0.2">
      <c r="B17" s="6">
        <v>23</v>
      </c>
      <c r="C17" s="7">
        <v>0.934237989891049</v>
      </c>
      <c r="D17" s="8">
        <f t="shared" si="2"/>
        <v>7.9499999999999993</v>
      </c>
      <c r="E17" s="8">
        <f t="shared" si="0"/>
        <v>0.30642685405865966</v>
      </c>
      <c r="F17" s="9">
        <f t="shared" si="3"/>
        <v>2.436093489766344</v>
      </c>
      <c r="H17" s="17">
        <f t="shared" si="4"/>
        <v>63.202499999999986</v>
      </c>
      <c r="I17" s="17">
        <f t="shared" si="1"/>
        <v>9.3897416888287108E-2</v>
      </c>
    </row>
    <row r="18" spans="1:10" x14ac:dyDescent="0.2">
      <c r="B18" s="6">
        <v>20</v>
      </c>
      <c r="C18" s="7">
        <v>0.80955966866720896</v>
      </c>
      <c r="D18" s="8">
        <f t="shared" si="2"/>
        <v>4.9499999999999993</v>
      </c>
      <c r="E18" s="8">
        <f t="shared" si="0"/>
        <v>0.18174853283481962</v>
      </c>
      <c r="F18" s="9">
        <f t="shared" si="3"/>
        <v>0.89965523753235699</v>
      </c>
      <c r="H18" s="17">
        <f t="shared" si="4"/>
        <v>24.502499999999994</v>
      </c>
      <c r="I18" s="17">
        <f t="shared" si="1"/>
        <v>3.3032529187609502E-2</v>
      </c>
    </row>
    <row r="19" spans="1:10" x14ac:dyDescent="0.2">
      <c r="B19" s="6">
        <v>3</v>
      </c>
      <c r="C19" s="7">
        <v>0.17059697521515901</v>
      </c>
      <c r="D19" s="8">
        <f t="shared" si="2"/>
        <v>-12.05</v>
      </c>
      <c r="E19" s="8">
        <f t="shared" si="0"/>
        <v>-0.4572141606172303</v>
      </c>
      <c r="F19" s="9">
        <f t="shared" si="3"/>
        <v>5.5094306354376252</v>
      </c>
      <c r="H19" s="17">
        <f t="shared" si="4"/>
        <v>145.20250000000001</v>
      </c>
      <c r="I19" s="17">
        <f t="shared" si="1"/>
        <v>0.20904478866891846</v>
      </c>
    </row>
    <row r="20" spans="1:10" x14ac:dyDescent="0.2">
      <c r="B20" s="6">
        <v>7</v>
      </c>
      <c r="C20" s="7">
        <v>0.35988982325969698</v>
      </c>
      <c r="D20" s="8">
        <f t="shared" si="2"/>
        <v>-8.0500000000000007</v>
      </c>
      <c r="E20" s="8">
        <f t="shared" si="0"/>
        <v>-0.26792131257269236</v>
      </c>
      <c r="F20" s="9">
        <f t="shared" si="3"/>
        <v>2.1567665662101736</v>
      </c>
      <c r="H20" s="17">
        <f t="shared" si="4"/>
        <v>64.802500000000009</v>
      </c>
      <c r="I20" s="17">
        <f t="shared" si="1"/>
        <v>7.1781829730674318E-2</v>
      </c>
    </row>
    <row r="21" spans="1:10" x14ac:dyDescent="0.2">
      <c r="B21" s="6">
        <v>23</v>
      </c>
      <c r="C21" s="7">
        <v>0.873311900785538</v>
      </c>
      <c r="D21" s="8">
        <f t="shared" si="2"/>
        <v>7.9499999999999993</v>
      </c>
      <c r="E21" s="8">
        <f t="shared" si="0"/>
        <v>0.24550076495314865</v>
      </c>
      <c r="F21" s="9">
        <f t="shared" si="3"/>
        <v>1.9517310813775317</v>
      </c>
      <c r="H21" s="17">
        <f t="shared" si="4"/>
        <v>63.202499999999986</v>
      </c>
      <c r="I21" s="17">
        <f t="shared" si="1"/>
        <v>6.0270625592581145E-2</v>
      </c>
    </row>
    <row r="22" spans="1:10" ht="17" thickBot="1" x14ac:dyDescent="0.25">
      <c r="B22" s="10">
        <v>2</v>
      </c>
      <c r="C22" s="11">
        <v>0.18676651578335901</v>
      </c>
      <c r="D22" s="8">
        <f t="shared" si="2"/>
        <v>-13.05</v>
      </c>
      <c r="E22" s="8">
        <f t="shared" si="0"/>
        <v>-0.44104462004903033</v>
      </c>
      <c r="F22" s="9">
        <f t="shared" si="3"/>
        <v>5.7556322916398459</v>
      </c>
      <c r="H22" s="17">
        <f t="shared" si="4"/>
        <v>170.30250000000001</v>
      </c>
      <c r="I22" s="17">
        <f t="shared" si="1"/>
        <v>0.19452035687419353</v>
      </c>
    </row>
    <row r="23" spans="1:10" ht="17" thickBot="1" x14ac:dyDescent="0.25">
      <c r="A23" s="12" t="s">
        <v>5</v>
      </c>
      <c r="B23" s="12">
        <f>AVERAGE(B3:B22)</f>
        <v>15.05</v>
      </c>
      <c r="C23" s="13">
        <f>AVERAGE(C3:C22)</f>
        <v>0.62781113583238934</v>
      </c>
      <c r="D23" s="14"/>
      <c r="E23" s="14"/>
      <c r="F23" s="14"/>
      <c r="H23" s="17">
        <f>SUM(H3:H22)</f>
        <v>1368.95</v>
      </c>
      <c r="I23" s="17">
        <f>SUM(I3:I22)</f>
        <v>1.5651384900028662</v>
      </c>
      <c r="J23">
        <f>SQRT(H23*I23)</f>
        <v>46.288187865690141</v>
      </c>
    </row>
    <row r="24" spans="1:10" ht="17" thickBot="1" x14ac:dyDescent="0.25">
      <c r="C24" s="14"/>
      <c r="D24" s="14"/>
      <c r="E24" s="15" t="s">
        <v>6</v>
      </c>
      <c r="F24" s="16">
        <f>SUM(F3:F22)</f>
        <v>44.662915986316641</v>
      </c>
      <c r="J24" s="17">
        <f>F24/J23</f>
        <v>0.96488797781219282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8594-61C4-A548-96AB-09AEE27E4C80}">
  <sheetPr>
    <tabColor theme="7"/>
  </sheetPr>
  <dimension ref="A1:J24"/>
  <sheetViews>
    <sheetView workbookViewId="0">
      <selection activeCell="J22" sqref="J22"/>
    </sheetView>
  </sheetViews>
  <sheetFormatPr baseColWidth="10" defaultRowHeight="16" x14ac:dyDescent="0.2"/>
  <cols>
    <col min="1" max="1" width="12.6640625" bestFit="1" customWidth="1"/>
    <col min="2" max="2" width="21" bestFit="1" customWidth="1"/>
    <col min="3" max="3" width="18.83203125" bestFit="1" customWidth="1"/>
  </cols>
  <sheetData>
    <row r="1" spans="2:9" ht="17" thickBot="1" x14ac:dyDescent="0.25">
      <c r="B1" s="1" t="s">
        <v>0</v>
      </c>
      <c r="C1" s="1" t="s">
        <v>1</v>
      </c>
    </row>
    <row r="2" spans="2:9" x14ac:dyDescent="0.2">
      <c r="B2" s="2" t="s">
        <v>9</v>
      </c>
      <c r="C2" s="3" t="s">
        <v>10</v>
      </c>
      <c r="D2" s="4" t="s">
        <v>2</v>
      </c>
      <c r="E2" s="4" t="s">
        <v>3</v>
      </c>
      <c r="F2" s="5" t="s">
        <v>4</v>
      </c>
      <c r="H2" t="s">
        <v>12</v>
      </c>
      <c r="I2" t="s">
        <v>11</v>
      </c>
    </row>
    <row r="3" spans="2:9" x14ac:dyDescent="0.2">
      <c r="B3" s="6">
        <v>5</v>
      </c>
      <c r="C3" s="7">
        <v>6.4154021177020697</v>
      </c>
      <c r="D3" s="8">
        <f>B3-B$23</f>
        <v>0.40000000000000036</v>
      </c>
      <c r="E3" s="8">
        <f t="shared" ref="E3:E22" si="0">C3-C$23</f>
        <v>0.86552692660478492</v>
      </c>
      <c r="F3" s="9">
        <f>D3*E3</f>
        <v>0.3462107706419143</v>
      </c>
      <c r="H3" s="17">
        <f>D3^2</f>
        <v>0.16000000000000028</v>
      </c>
      <c r="I3" s="17">
        <f t="shared" ref="I3:I22" si="1">E3^2</f>
        <v>0.74913686067792473</v>
      </c>
    </row>
    <row r="4" spans="2:9" x14ac:dyDescent="0.2">
      <c r="B4" s="6">
        <v>4</v>
      </c>
      <c r="C4" s="7">
        <v>6.32875110965968</v>
      </c>
      <c r="D4" s="8">
        <f t="shared" ref="D4:D22" si="2">B4-B$23</f>
        <v>-0.59999999999999964</v>
      </c>
      <c r="E4" s="8">
        <f t="shared" si="0"/>
        <v>0.77887591856239524</v>
      </c>
      <c r="F4" s="9">
        <f t="shared" ref="F4:F22" si="3">D4*E4</f>
        <v>-0.46732555113743685</v>
      </c>
      <c r="H4" s="17">
        <f t="shared" ref="H4:H22" si="4">D4^2</f>
        <v>0.3599999999999996</v>
      </c>
      <c r="I4" s="17">
        <f t="shared" si="1"/>
        <v>0.60664769651641492</v>
      </c>
    </row>
    <row r="5" spans="2:9" x14ac:dyDescent="0.2">
      <c r="B5" s="6">
        <v>4</v>
      </c>
      <c r="C5" s="7">
        <v>5.4702397962329599</v>
      </c>
      <c r="D5" s="8">
        <f t="shared" si="2"/>
        <v>-0.59999999999999964</v>
      </c>
      <c r="E5" s="8">
        <f t="shared" si="0"/>
        <v>-7.9635394864324915E-2</v>
      </c>
      <c r="F5" s="9">
        <f t="shared" si="3"/>
        <v>4.778123691859492E-2</v>
      </c>
      <c r="H5" s="17">
        <f t="shared" si="4"/>
        <v>0.3599999999999996</v>
      </c>
      <c r="I5" s="17">
        <f t="shared" si="1"/>
        <v>6.3417961151969468E-3</v>
      </c>
    </row>
    <row r="6" spans="2:9" x14ac:dyDescent="0.2">
      <c r="B6" s="6">
        <v>5</v>
      </c>
      <c r="C6" s="7">
        <v>6.0132674331133504</v>
      </c>
      <c r="D6" s="8">
        <f t="shared" si="2"/>
        <v>0.40000000000000036</v>
      </c>
      <c r="E6" s="8">
        <f t="shared" si="0"/>
        <v>0.46339224201606566</v>
      </c>
      <c r="F6" s="9">
        <f t="shared" si="3"/>
        <v>0.18535689680642642</v>
      </c>
      <c r="H6" s="17">
        <f t="shared" si="4"/>
        <v>0.16000000000000028</v>
      </c>
      <c r="I6" s="17">
        <f t="shared" si="1"/>
        <v>0.21473236996067596</v>
      </c>
    </row>
    <row r="7" spans="2:9" x14ac:dyDescent="0.2">
      <c r="B7" s="6">
        <v>5</v>
      </c>
      <c r="C7" s="7">
        <v>5.5970775493480396</v>
      </c>
      <c r="D7" s="8">
        <f t="shared" si="2"/>
        <v>0.40000000000000036</v>
      </c>
      <c r="E7" s="8">
        <f t="shared" si="0"/>
        <v>4.7202358250754806E-2</v>
      </c>
      <c r="F7" s="9">
        <f t="shared" si="3"/>
        <v>1.888094330030194E-2</v>
      </c>
      <c r="H7" s="17">
        <f t="shared" si="4"/>
        <v>0.16000000000000028</v>
      </c>
      <c r="I7" s="17">
        <f t="shared" si="1"/>
        <v>2.2280626244326001E-3</v>
      </c>
    </row>
    <row r="8" spans="2:9" x14ac:dyDescent="0.2">
      <c r="B8" s="6">
        <v>3</v>
      </c>
      <c r="C8" s="7">
        <v>7.46864499053288</v>
      </c>
      <c r="D8" s="8">
        <f t="shared" si="2"/>
        <v>-1.5999999999999996</v>
      </c>
      <c r="E8" s="8">
        <f t="shared" si="0"/>
        <v>1.9187697994355952</v>
      </c>
      <c r="F8" s="9">
        <f t="shared" si="3"/>
        <v>-3.0700316790969517</v>
      </c>
      <c r="H8" s="17">
        <f t="shared" si="4"/>
        <v>2.5599999999999987</v>
      </c>
      <c r="I8" s="17">
        <f t="shared" si="1"/>
        <v>3.6816775432261144</v>
      </c>
    </row>
    <row r="9" spans="2:9" x14ac:dyDescent="0.2">
      <c r="B9" s="6">
        <v>5</v>
      </c>
      <c r="C9" s="7">
        <v>4.7979469061226396</v>
      </c>
      <c r="D9" s="8">
        <f t="shared" si="2"/>
        <v>0.40000000000000036</v>
      </c>
      <c r="E9" s="8">
        <f t="shared" si="0"/>
        <v>-0.75192828497464514</v>
      </c>
      <c r="F9" s="9">
        <f t="shared" si="3"/>
        <v>-0.30077131398985835</v>
      </c>
      <c r="H9" s="17">
        <f t="shared" si="4"/>
        <v>0.16000000000000028</v>
      </c>
      <c r="I9" s="17">
        <f t="shared" si="1"/>
        <v>0.56539614574491115</v>
      </c>
    </row>
    <row r="10" spans="2:9" x14ac:dyDescent="0.2">
      <c r="B10" s="6">
        <v>4</v>
      </c>
      <c r="C10" s="7">
        <v>5.6723378534022304</v>
      </c>
      <c r="D10" s="8">
        <f t="shared" si="2"/>
        <v>-0.59999999999999964</v>
      </c>
      <c r="E10" s="8">
        <f t="shared" si="0"/>
        <v>0.12246266230494562</v>
      </c>
      <c r="F10" s="9">
        <f t="shared" si="3"/>
        <v>-7.347759738296733E-2</v>
      </c>
      <c r="H10" s="17">
        <f t="shared" si="4"/>
        <v>0.3599999999999996</v>
      </c>
      <c r="I10" s="17">
        <f t="shared" si="1"/>
        <v>1.4997103658815149E-2</v>
      </c>
    </row>
    <row r="11" spans="2:9" x14ac:dyDescent="0.2">
      <c r="B11" s="6">
        <v>6</v>
      </c>
      <c r="C11" s="7">
        <v>4.6078918468678403</v>
      </c>
      <c r="D11" s="8">
        <f t="shared" si="2"/>
        <v>1.4000000000000004</v>
      </c>
      <c r="E11" s="8">
        <f t="shared" si="0"/>
        <v>-0.94198334422944452</v>
      </c>
      <c r="F11" s="9">
        <f t="shared" si="3"/>
        <v>-1.3187766819212228</v>
      </c>
      <c r="H11" s="17">
        <f t="shared" si="4"/>
        <v>1.9600000000000011</v>
      </c>
      <c r="I11" s="17">
        <f t="shared" si="1"/>
        <v>0.8873326208056882</v>
      </c>
    </row>
    <row r="12" spans="2:9" x14ac:dyDescent="0.2">
      <c r="B12" s="6">
        <v>7</v>
      </c>
      <c r="C12" s="7">
        <v>3.0364850518678801</v>
      </c>
      <c r="D12" s="8">
        <f t="shared" si="2"/>
        <v>2.4000000000000004</v>
      </c>
      <c r="E12" s="8">
        <f t="shared" si="0"/>
        <v>-2.5133901392294047</v>
      </c>
      <c r="F12" s="9">
        <f t="shared" si="3"/>
        <v>-6.0321363341505725</v>
      </c>
      <c r="H12" s="17">
        <f t="shared" si="4"/>
        <v>5.7600000000000016</v>
      </c>
      <c r="I12" s="17">
        <f t="shared" si="1"/>
        <v>6.3171299919756061</v>
      </c>
    </row>
    <row r="13" spans="2:9" x14ac:dyDescent="0.2">
      <c r="B13" s="6">
        <v>2</v>
      </c>
      <c r="C13" s="7">
        <v>7.2961202770645697</v>
      </c>
      <c r="D13" s="8">
        <f t="shared" si="2"/>
        <v>-2.5999999999999996</v>
      </c>
      <c r="E13" s="8">
        <f t="shared" si="0"/>
        <v>1.7462450859672849</v>
      </c>
      <c r="F13" s="9">
        <f t="shared" si="3"/>
        <v>-4.5402372235149402</v>
      </c>
      <c r="H13" s="17">
        <f t="shared" si="4"/>
        <v>6.759999999999998</v>
      </c>
      <c r="I13" s="17">
        <f t="shared" si="1"/>
        <v>3.04937190026489</v>
      </c>
    </row>
    <row r="14" spans="2:9" x14ac:dyDescent="0.2">
      <c r="B14" s="6">
        <v>5</v>
      </c>
      <c r="C14" s="7">
        <v>5.7610552721798802</v>
      </c>
      <c r="D14" s="8">
        <f t="shared" si="2"/>
        <v>0.40000000000000036</v>
      </c>
      <c r="E14" s="8">
        <f t="shared" si="0"/>
        <v>0.21118008108259545</v>
      </c>
      <c r="F14" s="9">
        <f t="shared" si="3"/>
        <v>8.447203243303826E-2</v>
      </c>
      <c r="H14" s="17">
        <f t="shared" si="4"/>
        <v>0.16000000000000028</v>
      </c>
      <c r="I14" s="17">
        <f t="shared" si="1"/>
        <v>4.4597026646051585E-2</v>
      </c>
    </row>
    <row r="15" spans="2:9" x14ac:dyDescent="0.2">
      <c r="B15" s="6">
        <v>5</v>
      </c>
      <c r="C15" s="7">
        <v>5.5051134566424604</v>
      </c>
      <c r="D15" s="8">
        <f t="shared" si="2"/>
        <v>0.40000000000000036</v>
      </c>
      <c r="E15" s="8">
        <f t="shared" si="0"/>
        <v>-4.4761734454824342E-2</v>
      </c>
      <c r="F15" s="9">
        <f t="shared" si="3"/>
        <v>-1.7904693781929753E-2</v>
      </c>
      <c r="H15" s="17">
        <f t="shared" si="4"/>
        <v>0.16000000000000028</v>
      </c>
      <c r="I15" s="17">
        <f t="shared" si="1"/>
        <v>2.0036128714042089E-3</v>
      </c>
    </row>
    <row r="16" spans="2:9" x14ac:dyDescent="0.2">
      <c r="B16" s="6">
        <v>6</v>
      </c>
      <c r="C16" s="7">
        <v>4.7654128666248496</v>
      </c>
      <c r="D16" s="8">
        <f t="shared" si="2"/>
        <v>1.4000000000000004</v>
      </c>
      <c r="E16" s="8">
        <f t="shared" si="0"/>
        <v>-0.78446232447243514</v>
      </c>
      <c r="F16" s="9">
        <f t="shared" si="3"/>
        <v>-1.0982472542614095</v>
      </c>
      <c r="H16" s="17">
        <f t="shared" si="4"/>
        <v>1.9600000000000011</v>
      </c>
      <c r="I16" s="17">
        <f t="shared" si="1"/>
        <v>0.61538113851669607</v>
      </c>
    </row>
    <row r="17" spans="1:10" x14ac:dyDescent="0.2">
      <c r="B17" s="6">
        <v>4</v>
      </c>
      <c r="C17" s="7">
        <v>4.5846292579495804</v>
      </c>
      <c r="D17" s="8">
        <f t="shared" si="2"/>
        <v>-0.59999999999999964</v>
      </c>
      <c r="E17" s="8">
        <f t="shared" si="0"/>
        <v>-0.96524593314770435</v>
      </c>
      <c r="F17" s="9">
        <f t="shared" si="3"/>
        <v>0.57914755988862232</v>
      </c>
      <c r="H17" s="17">
        <f t="shared" si="4"/>
        <v>0.3599999999999996</v>
      </c>
      <c r="I17" s="17">
        <f t="shared" si="1"/>
        <v>0.93169971145818253</v>
      </c>
    </row>
    <row r="18" spans="1:10" x14ac:dyDescent="0.2">
      <c r="B18" s="6">
        <v>6</v>
      </c>
      <c r="C18" s="7">
        <v>4.5793546772346403</v>
      </c>
      <c r="D18" s="8">
        <f t="shared" si="2"/>
        <v>1.4000000000000004</v>
      </c>
      <c r="E18" s="8">
        <f t="shared" si="0"/>
        <v>-0.97052051386264448</v>
      </c>
      <c r="F18" s="9">
        <f t="shared" si="3"/>
        <v>-1.3587287194077027</v>
      </c>
      <c r="H18" s="17">
        <f t="shared" si="4"/>
        <v>1.9600000000000011</v>
      </c>
      <c r="I18" s="17">
        <f t="shared" si="1"/>
        <v>0.94191006782821152</v>
      </c>
    </row>
    <row r="19" spans="1:10" x14ac:dyDescent="0.2">
      <c r="B19" s="6">
        <v>6</v>
      </c>
      <c r="C19" s="7">
        <v>4.6572854834732302</v>
      </c>
      <c r="D19" s="8">
        <f t="shared" si="2"/>
        <v>1.4000000000000004</v>
      </c>
      <c r="E19" s="8">
        <f t="shared" si="0"/>
        <v>-0.89258970762405454</v>
      </c>
      <c r="F19" s="9">
        <f t="shared" si="3"/>
        <v>-1.2496255906736766</v>
      </c>
      <c r="H19" s="17">
        <f t="shared" si="4"/>
        <v>1.9600000000000011</v>
      </c>
      <c r="I19" s="17">
        <f t="shared" si="1"/>
        <v>0.79671638615639517</v>
      </c>
    </row>
    <row r="20" spans="1:10" x14ac:dyDescent="0.2">
      <c r="B20" s="6">
        <v>1</v>
      </c>
      <c r="C20" s="7">
        <v>6.6977227307783798</v>
      </c>
      <c r="D20" s="8">
        <f t="shared" si="2"/>
        <v>-3.5999999999999996</v>
      </c>
      <c r="E20" s="8">
        <f t="shared" si="0"/>
        <v>1.147847539681095</v>
      </c>
      <c r="F20" s="9">
        <f t="shared" si="3"/>
        <v>-4.1322511428519419</v>
      </c>
      <c r="H20" s="17">
        <f t="shared" si="4"/>
        <v>12.959999999999997</v>
      </c>
      <c r="I20" s="17">
        <f t="shared" si="1"/>
        <v>1.3175539743519429</v>
      </c>
    </row>
    <row r="21" spans="1:10" x14ac:dyDescent="0.2">
      <c r="B21" s="6">
        <v>7</v>
      </c>
      <c r="C21" s="7">
        <v>4.33871428833399</v>
      </c>
      <c r="D21" s="8">
        <f t="shared" si="2"/>
        <v>2.4000000000000004</v>
      </c>
      <c r="E21" s="8">
        <f t="shared" si="0"/>
        <v>-1.2111609027632948</v>
      </c>
      <c r="F21" s="9">
        <f t="shared" si="3"/>
        <v>-2.9067861666319081</v>
      </c>
      <c r="H21" s="17">
        <f t="shared" si="4"/>
        <v>5.7600000000000016</v>
      </c>
      <c r="I21" s="17">
        <f t="shared" si="1"/>
        <v>1.4669107323823993</v>
      </c>
    </row>
    <row r="22" spans="1:10" ht="17" thickBot="1" x14ac:dyDescent="0.25">
      <c r="B22" s="10">
        <v>2</v>
      </c>
      <c r="C22" s="11">
        <v>7.4040508568145302</v>
      </c>
      <c r="D22" s="8">
        <f t="shared" si="2"/>
        <v>-2.5999999999999996</v>
      </c>
      <c r="E22" s="8">
        <f t="shared" si="0"/>
        <v>1.8541756657172455</v>
      </c>
      <c r="F22" s="9">
        <f t="shared" si="3"/>
        <v>-4.8208567308648371</v>
      </c>
      <c r="H22" s="17">
        <f t="shared" si="4"/>
        <v>6.759999999999998</v>
      </c>
      <c r="I22" s="17">
        <f t="shared" si="1"/>
        <v>3.4379673993379902</v>
      </c>
    </row>
    <row r="23" spans="1:10" ht="17" thickBot="1" x14ac:dyDescent="0.25">
      <c r="A23" s="12" t="s">
        <v>5</v>
      </c>
      <c r="B23" s="12">
        <f>AVERAGE(B3:B22)</f>
        <v>4.5999999999999996</v>
      </c>
      <c r="C23" s="13">
        <f>AVERAGE(C3:C22)</f>
        <v>5.5498751910972848</v>
      </c>
      <c r="D23" s="14"/>
      <c r="E23" s="14"/>
      <c r="F23" s="14"/>
      <c r="H23" s="17">
        <f>SUM(H3:H22)</f>
        <v>50.800000000000004</v>
      </c>
      <c r="I23" s="17">
        <f>SUM(I3:I22)</f>
        <v>25.649732141119941</v>
      </c>
      <c r="J23">
        <f>SQRT(H23*I23)</f>
        <v>36.097179845091681</v>
      </c>
    </row>
    <row r="24" spans="1:10" ht="17" thickBot="1" x14ac:dyDescent="0.25">
      <c r="C24" s="14"/>
      <c r="D24" s="14"/>
      <c r="E24" s="15" t="s">
        <v>6</v>
      </c>
      <c r="F24" s="16">
        <f>SUM(F3:F22)</f>
        <v>-30.125307239678456</v>
      </c>
      <c r="J24" s="17">
        <f>F24/J23</f>
        <v>-0.8345612418742665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EB6C-ADDC-5D48-9D3C-CED866C16DBC}">
  <sheetPr>
    <tabColor theme="7"/>
  </sheetPr>
  <dimension ref="A1:F24"/>
  <sheetViews>
    <sheetView zoomScale="118" workbookViewId="0">
      <selection activeCell="B23" sqref="B23"/>
    </sheetView>
  </sheetViews>
  <sheetFormatPr baseColWidth="10" defaultRowHeight="16" x14ac:dyDescent="0.2"/>
  <cols>
    <col min="1" max="1" width="12.6640625" bestFit="1" customWidth="1"/>
    <col min="2" max="2" width="21" bestFit="1" customWidth="1"/>
    <col min="3" max="3" width="28" bestFit="1" customWidth="1"/>
  </cols>
  <sheetData>
    <row r="1" spans="2:6" ht="17" thickBot="1" x14ac:dyDescent="0.25">
      <c r="B1" s="1"/>
      <c r="C1" s="1"/>
    </row>
    <row r="2" spans="2:6" x14ac:dyDescent="0.2">
      <c r="B2" s="2" t="s">
        <v>15</v>
      </c>
      <c r="C2" s="3" t="s">
        <v>16</v>
      </c>
      <c r="D2" s="4" t="s">
        <v>2</v>
      </c>
      <c r="E2" s="4" t="s">
        <v>3</v>
      </c>
      <c r="F2" s="5" t="s">
        <v>4</v>
      </c>
    </row>
    <row r="3" spans="2:6" x14ac:dyDescent="0.2">
      <c r="B3" s="6">
        <v>6</v>
      </c>
      <c r="C3" s="7">
        <v>0.28655179957563898</v>
      </c>
      <c r="D3" s="8"/>
      <c r="E3" s="8"/>
      <c r="F3" s="9"/>
    </row>
    <row r="4" spans="2:6" x14ac:dyDescent="0.2">
      <c r="B4" s="6">
        <v>19</v>
      </c>
      <c r="C4" s="7">
        <v>0.88527693727880996</v>
      </c>
      <c r="D4" s="8"/>
      <c r="E4" s="8"/>
      <c r="F4" s="9"/>
    </row>
    <row r="5" spans="2:6" x14ac:dyDescent="0.2">
      <c r="B5" s="6">
        <v>28</v>
      </c>
      <c r="C5" s="7">
        <v>0.95023212178251004</v>
      </c>
      <c r="D5" s="8"/>
      <c r="E5" s="8"/>
      <c r="F5" s="9"/>
    </row>
    <row r="6" spans="2:6" x14ac:dyDescent="0.2">
      <c r="B6" s="6">
        <v>14</v>
      </c>
      <c r="C6" s="7">
        <v>0.66668799344909901</v>
      </c>
      <c r="D6" s="8"/>
      <c r="E6" s="8"/>
      <c r="F6" s="9"/>
    </row>
    <row r="7" spans="2:6" x14ac:dyDescent="0.2">
      <c r="B7" s="6">
        <v>10</v>
      </c>
      <c r="C7" s="7">
        <v>0.51209811357830104</v>
      </c>
      <c r="D7" s="8"/>
      <c r="E7" s="8"/>
      <c r="F7" s="9"/>
    </row>
    <row r="8" spans="2:6" x14ac:dyDescent="0.2">
      <c r="B8" s="6">
        <v>7</v>
      </c>
      <c r="C8" s="7">
        <v>0.25867968154131399</v>
      </c>
      <c r="D8" s="8"/>
      <c r="E8" s="8"/>
      <c r="F8" s="9"/>
    </row>
    <row r="9" spans="2:6" x14ac:dyDescent="0.2">
      <c r="B9" s="6">
        <v>28</v>
      </c>
      <c r="C9" s="7">
        <v>0.88715711479748205</v>
      </c>
      <c r="D9" s="8"/>
      <c r="E9" s="8"/>
      <c r="F9" s="9"/>
    </row>
    <row r="10" spans="2:6" x14ac:dyDescent="0.2">
      <c r="B10" s="6">
        <v>20</v>
      </c>
      <c r="C10" s="7">
        <v>0.85268270151583303</v>
      </c>
      <c r="D10" s="8"/>
      <c r="E10" s="8"/>
      <c r="F10" s="9"/>
    </row>
    <row r="11" spans="2:6" x14ac:dyDescent="0.2">
      <c r="B11" s="6">
        <v>6</v>
      </c>
      <c r="C11" s="7">
        <v>0.25938396285566601</v>
      </c>
      <c r="D11" s="8"/>
      <c r="E11" s="8"/>
      <c r="F11" s="9"/>
    </row>
    <row r="12" spans="2:6" x14ac:dyDescent="0.2">
      <c r="B12" s="6">
        <v>25</v>
      </c>
      <c r="C12" s="7">
        <v>0.96828649345219697</v>
      </c>
      <c r="D12" s="8"/>
      <c r="E12" s="8"/>
      <c r="F12" s="9"/>
    </row>
    <row r="13" spans="2:6" x14ac:dyDescent="0.2">
      <c r="B13" s="6">
        <v>18</v>
      </c>
      <c r="C13" s="7">
        <v>0.78661718135786296</v>
      </c>
      <c r="D13" s="8"/>
      <c r="E13" s="8"/>
      <c r="F13" s="9"/>
    </row>
    <row r="14" spans="2:6" x14ac:dyDescent="0.2">
      <c r="B14" s="6">
        <v>22</v>
      </c>
      <c r="C14" s="7">
        <v>0.84621211843931299</v>
      </c>
      <c r="D14" s="8"/>
      <c r="E14" s="8"/>
      <c r="F14" s="9"/>
    </row>
    <row r="15" spans="2:6" x14ac:dyDescent="0.2">
      <c r="B15" s="6">
        <v>10</v>
      </c>
      <c r="C15" s="7">
        <v>0.57328243844607696</v>
      </c>
      <c r="D15" s="8"/>
      <c r="E15" s="8"/>
      <c r="F15" s="9"/>
    </row>
    <row r="16" spans="2:6" x14ac:dyDescent="0.2">
      <c r="B16" s="6">
        <v>10</v>
      </c>
      <c r="C16" s="7">
        <v>0.48871118497567301</v>
      </c>
      <c r="D16" s="8"/>
      <c r="E16" s="8"/>
      <c r="F16" s="9"/>
    </row>
    <row r="17" spans="1:6" x14ac:dyDescent="0.2">
      <c r="B17" s="6">
        <v>23</v>
      </c>
      <c r="C17" s="7">
        <v>0.934237989891049</v>
      </c>
      <c r="D17" s="8"/>
      <c r="E17" s="8"/>
      <c r="F17" s="9"/>
    </row>
    <row r="18" spans="1:6" x14ac:dyDescent="0.2">
      <c r="B18" s="6">
        <v>20</v>
      </c>
      <c r="C18" s="7">
        <v>0.80955966866720896</v>
      </c>
      <c r="D18" s="8"/>
      <c r="E18" s="8"/>
      <c r="F18" s="9"/>
    </row>
    <row r="19" spans="1:6" x14ac:dyDescent="0.2">
      <c r="B19" s="6">
        <v>3</v>
      </c>
      <c r="C19" s="7">
        <v>0.17059697521515901</v>
      </c>
      <c r="D19" s="8"/>
      <c r="E19" s="8"/>
      <c r="F19" s="9"/>
    </row>
    <row r="20" spans="1:6" x14ac:dyDescent="0.2">
      <c r="B20" s="6">
        <v>7</v>
      </c>
      <c r="C20" s="7">
        <v>0.35988982325969698</v>
      </c>
      <c r="D20" s="8"/>
      <c r="E20" s="8"/>
      <c r="F20" s="9"/>
    </row>
    <row r="21" spans="1:6" x14ac:dyDescent="0.2">
      <c r="B21" s="6">
        <v>23</v>
      </c>
      <c r="C21" s="7">
        <v>0.873311900785538</v>
      </c>
      <c r="D21" s="8"/>
      <c r="E21" s="8"/>
      <c r="F21" s="9"/>
    </row>
    <row r="22" spans="1:6" ht="17" thickBot="1" x14ac:dyDescent="0.25">
      <c r="B22" s="10">
        <v>2</v>
      </c>
      <c r="C22" s="11">
        <v>0.18676651578335901</v>
      </c>
      <c r="D22" s="8"/>
      <c r="E22" s="8"/>
      <c r="F22" s="9"/>
    </row>
    <row r="23" spans="1:6" ht="17" thickBot="1" x14ac:dyDescent="0.25">
      <c r="A23" s="12" t="s">
        <v>5</v>
      </c>
      <c r="B23" s="12"/>
      <c r="C23" s="13"/>
      <c r="D23" s="14"/>
      <c r="E23" s="14"/>
      <c r="F23" s="14"/>
    </row>
    <row r="24" spans="1:6" ht="17" thickBot="1" x14ac:dyDescent="0.25">
      <c r="C24" s="14"/>
      <c r="D24" s="14"/>
      <c r="E24" s="15" t="s">
        <v>6</v>
      </c>
      <c r="F24" s="16"/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7C80-A18E-A24E-BDB8-CB3ECD0ABE5C}">
  <sheetPr>
    <tabColor theme="7"/>
  </sheetPr>
  <dimension ref="A1:F24"/>
  <sheetViews>
    <sheetView zoomScale="125" workbookViewId="0">
      <selection activeCell="B23" sqref="B23"/>
    </sheetView>
  </sheetViews>
  <sheetFormatPr baseColWidth="10" defaultRowHeight="16" x14ac:dyDescent="0.2"/>
  <cols>
    <col min="1" max="1" width="12.6640625" bestFit="1" customWidth="1"/>
    <col min="2" max="2" width="21" bestFit="1" customWidth="1"/>
    <col min="3" max="3" width="18.83203125" bestFit="1" customWidth="1"/>
  </cols>
  <sheetData>
    <row r="1" spans="2:6" ht="17" thickBot="1" x14ac:dyDescent="0.25">
      <c r="B1" s="1"/>
      <c r="C1" s="1"/>
    </row>
    <row r="2" spans="2:6" x14ac:dyDescent="0.2">
      <c r="B2" s="2" t="s">
        <v>14</v>
      </c>
      <c r="C2" s="3" t="s">
        <v>13</v>
      </c>
      <c r="D2" s="4" t="s">
        <v>2</v>
      </c>
      <c r="E2" s="4" t="s">
        <v>3</v>
      </c>
      <c r="F2" s="5" t="s">
        <v>4</v>
      </c>
    </row>
    <row r="3" spans="2:6" x14ac:dyDescent="0.2">
      <c r="B3" s="6">
        <v>5</v>
      </c>
      <c r="C3" s="7">
        <v>6.4154021177020697</v>
      </c>
      <c r="D3" s="8"/>
      <c r="E3" s="8"/>
      <c r="F3" s="9"/>
    </row>
    <row r="4" spans="2:6" x14ac:dyDescent="0.2">
      <c r="B4" s="6">
        <v>4</v>
      </c>
      <c r="C4" s="7">
        <v>6.32875110965968</v>
      </c>
      <c r="D4" s="8"/>
      <c r="E4" s="8"/>
      <c r="F4" s="9"/>
    </row>
    <row r="5" spans="2:6" x14ac:dyDescent="0.2">
      <c r="B5" s="6">
        <v>4</v>
      </c>
      <c r="C5" s="7">
        <v>5.4702397962329599</v>
      </c>
      <c r="D5" s="8"/>
      <c r="E5" s="8"/>
      <c r="F5" s="9"/>
    </row>
    <row r="6" spans="2:6" x14ac:dyDescent="0.2">
      <c r="B6" s="6">
        <v>5</v>
      </c>
      <c r="C6" s="7">
        <v>6.0132674331133504</v>
      </c>
      <c r="D6" s="8"/>
      <c r="E6" s="8"/>
      <c r="F6" s="9"/>
    </row>
    <row r="7" spans="2:6" x14ac:dyDescent="0.2">
      <c r="B7" s="6">
        <v>5</v>
      </c>
      <c r="C7" s="7">
        <v>5.5970775493480396</v>
      </c>
      <c r="D7" s="8"/>
      <c r="E7" s="8"/>
      <c r="F7" s="9"/>
    </row>
    <row r="8" spans="2:6" x14ac:dyDescent="0.2">
      <c r="B8" s="6">
        <v>3</v>
      </c>
      <c r="C8" s="7">
        <v>7.46864499053288</v>
      </c>
      <c r="D8" s="8"/>
      <c r="E8" s="8"/>
      <c r="F8" s="9"/>
    </row>
    <row r="9" spans="2:6" x14ac:dyDescent="0.2">
      <c r="B9" s="6">
        <v>5</v>
      </c>
      <c r="C9" s="7">
        <v>4.7979469061226396</v>
      </c>
      <c r="D9" s="8"/>
      <c r="E9" s="8"/>
      <c r="F9" s="9"/>
    </row>
    <row r="10" spans="2:6" x14ac:dyDescent="0.2">
      <c r="B10" s="6">
        <v>4</v>
      </c>
      <c r="C10" s="7">
        <v>5.6723378534022304</v>
      </c>
      <c r="D10" s="8"/>
      <c r="E10" s="8"/>
      <c r="F10" s="9"/>
    </row>
    <row r="11" spans="2:6" x14ac:dyDescent="0.2">
      <c r="B11" s="6">
        <v>6</v>
      </c>
      <c r="C11" s="7">
        <v>4.6078918468678403</v>
      </c>
      <c r="D11" s="8"/>
      <c r="E11" s="8"/>
      <c r="F11" s="9"/>
    </row>
    <row r="12" spans="2:6" x14ac:dyDescent="0.2">
      <c r="B12" s="6">
        <v>7</v>
      </c>
      <c r="C12" s="7">
        <v>3.0364850518678801</v>
      </c>
      <c r="D12" s="8"/>
      <c r="E12" s="8"/>
      <c r="F12" s="9"/>
    </row>
    <row r="13" spans="2:6" x14ac:dyDescent="0.2">
      <c r="B13" s="6">
        <v>2</v>
      </c>
      <c r="C13" s="7">
        <v>7.2961202770645697</v>
      </c>
      <c r="D13" s="8"/>
      <c r="E13" s="8"/>
      <c r="F13" s="9"/>
    </row>
    <row r="14" spans="2:6" x14ac:dyDescent="0.2">
      <c r="B14" s="6">
        <v>5</v>
      </c>
      <c r="C14" s="7">
        <v>5.7610552721798802</v>
      </c>
      <c r="D14" s="8"/>
      <c r="E14" s="8"/>
      <c r="F14" s="9"/>
    </row>
    <row r="15" spans="2:6" x14ac:dyDescent="0.2">
      <c r="B15" s="6">
        <v>5</v>
      </c>
      <c r="C15" s="7">
        <v>5.5051134566424604</v>
      </c>
      <c r="D15" s="8"/>
      <c r="E15" s="8"/>
      <c r="F15" s="9"/>
    </row>
    <row r="16" spans="2:6" x14ac:dyDescent="0.2">
      <c r="B16" s="6">
        <v>6</v>
      </c>
      <c r="C16" s="7">
        <v>4.7654128666248496</v>
      </c>
      <c r="D16" s="8"/>
      <c r="E16" s="8"/>
      <c r="F16" s="9"/>
    </row>
    <row r="17" spans="1:6" x14ac:dyDescent="0.2">
      <c r="B17" s="6">
        <v>4</v>
      </c>
      <c r="C17" s="7">
        <v>4.5846292579495804</v>
      </c>
      <c r="D17" s="8"/>
      <c r="E17" s="8"/>
      <c r="F17" s="9"/>
    </row>
    <row r="18" spans="1:6" x14ac:dyDescent="0.2">
      <c r="B18" s="6">
        <v>6</v>
      </c>
      <c r="C18" s="7">
        <v>4.5793546772346403</v>
      </c>
      <c r="D18" s="8"/>
      <c r="E18" s="8"/>
      <c r="F18" s="9"/>
    </row>
    <row r="19" spans="1:6" x14ac:dyDescent="0.2">
      <c r="B19" s="6">
        <v>6</v>
      </c>
      <c r="C19" s="7">
        <v>4.6572854834732302</v>
      </c>
      <c r="D19" s="8"/>
      <c r="E19" s="8"/>
      <c r="F19" s="9"/>
    </row>
    <row r="20" spans="1:6" x14ac:dyDescent="0.2">
      <c r="B20" s="6">
        <v>1</v>
      </c>
      <c r="C20" s="7">
        <v>6.6977227307783798</v>
      </c>
      <c r="D20" s="8"/>
      <c r="E20" s="8"/>
      <c r="F20" s="9"/>
    </row>
    <row r="21" spans="1:6" x14ac:dyDescent="0.2">
      <c r="B21" s="6">
        <v>7</v>
      </c>
      <c r="C21" s="7">
        <v>4.33871428833399</v>
      </c>
      <c r="D21" s="8"/>
      <c r="E21" s="8"/>
      <c r="F21" s="9"/>
    </row>
    <row r="22" spans="1:6" ht="17" thickBot="1" x14ac:dyDescent="0.25">
      <c r="B22" s="10">
        <v>2</v>
      </c>
      <c r="C22" s="11">
        <v>7.4040508568145302</v>
      </c>
      <c r="D22" s="8"/>
      <c r="E22" s="8"/>
      <c r="F22" s="9"/>
    </row>
    <row r="23" spans="1:6" ht="17" thickBot="1" x14ac:dyDescent="0.25">
      <c r="A23" s="12" t="s">
        <v>5</v>
      </c>
      <c r="B23" s="12"/>
      <c r="C23" s="13"/>
      <c r="D23" s="14"/>
      <c r="E23" s="14"/>
      <c r="F23" s="14"/>
    </row>
    <row r="24" spans="1:6" ht="17" thickBot="1" x14ac:dyDescent="0.25">
      <c r="C24" s="14"/>
      <c r="D24" s="14"/>
      <c r="E24" s="15" t="s">
        <v>6</v>
      </c>
      <c r="F24" s="16"/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F295-34FC-2042-B3CC-0127260012E4}">
  <sheetPr>
    <tabColor rgb="FFFFC000"/>
  </sheetPr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Beispiel</vt:lpstr>
      <vt:lpstr>Aufgabe 1 (Musterlösung)</vt:lpstr>
      <vt:lpstr>Aufgabe 2 (Musterlösung)</vt:lpstr>
      <vt:lpstr>Aufgabe 1</vt:lpstr>
      <vt:lpstr>Aufgabe 2</vt:lpstr>
      <vt:lpstr>Challenge-Aufgabe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Wendl, Cyril</dc:creator>
  <cp:lastModifiedBy>Wendl, Cyril</cp:lastModifiedBy>
  <dcterms:created xsi:type="dcterms:W3CDTF">2025-05-10T14:01:27Z</dcterms:created>
  <dcterms:modified xsi:type="dcterms:W3CDTF">2025-05-13T16:29:49Z</dcterms:modified>
</cp:coreProperties>
</file>